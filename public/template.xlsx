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6" sheetId="1" r:id="rId4"/>
    <sheet state="visible" name="FEBRERO 2026" sheetId="2" r:id="rId5"/>
    <sheet state="visible" name="MARZO 2026" sheetId="3" r:id="rId6"/>
  </sheets>
  <externalReferences>
    <externalReference r:id="rId7"/>
  </externalReferences>
  <definedNames>
    <definedName hidden="1" localSheetId="0" name="_xlnm._FilterDatabase">'ENERO 2026'!$A$3:$T$100</definedName>
    <definedName hidden="1" localSheetId="1" name="_xlnm._FilterDatabase">'FEBRERO 2026'!$A$3:$T$100</definedName>
  </definedNames>
  <calcPr/>
  <extLst>
    <ext uri="GoogleSheetsCustomDataVersion2">
      <go:sheetsCustomData xmlns:go="http://customooxmlschemas.google.com/" r:id="rId8" roundtripDataChecksum="iL5Xmv4EAEAmmiEgYWW+bKTLLe1llGMielB1q0THce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">
      <text>
        <t xml:space="preserve">liq. por caja
======</t>
      </text>
    </comment>
    <comment authorId="0" ref="E53">
      <text>
        <t xml:space="preserve">liq. por caja
======</t>
      </text>
    </comment>
    <comment authorId="0" ref="K69">
      <text>
        <t xml:space="preserve">SUMAR A DR G.C.JERONIMO
======
ID#AAAB5t8ItoQ
Ayelen Lopez Sanatorio Mayo    (2026-04-19 21:59:52)
SUMAR A DR G.C.JERONIMO</t>
      </text>
    </comment>
    <comment authorId="0" ref="N69">
      <text>
        <t xml:space="preserve">SUMAR A DR G.C.JERONIMO
======</t>
      </text>
    </comment>
    <comment authorId="0" ref="N70">
      <text>
        <t xml:space="preserve">SUMAR A DR G.C.JERONIMO
======</t>
      </text>
    </comment>
    <comment authorId="0" ref="K70">
      <text>
        <t xml:space="preserve">======
ID#AAAB5t8ItoU
Ayelen Lopez Sanatorio Mayo    (2026-04-19 21:59:57)
SUMAR A DR G.C.JERONIMO</t>
      </text>
    </comment>
    <comment authorId="0" ref="G70">
      <text>
        <t xml:space="preserve">======
ID#AAAB5t8ItoM
Ayelen Lopez Sanatorio Mayo    (2026-04-19 21:35:42)
SUMAR A DR G.C.JERONIMO</t>
      </text>
    </comment>
    <comment authorId="0" ref="G69">
      <text>
        <t xml:space="preserve">======
ID#AAAB5t8ItoI
Ayelen Lopez Sanatorio Mayo    (2026-04-19 21:35:32)
SUMAR A DR G.C.JERONIMO</t>
      </text>
    </comment>
    <comment authorId="0" ref="E46">
      <text>
        <t xml:space="preserve">======
ID#AAAB1R55pBM
Ayelen Lopez Sanatorio Mayo    (2026-03-03 11:56:09)
consult+estudios gastro</t>
      </text>
    </comment>
    <comment authorId="0" ref="E45">
      <text>
        <t xml:space="preserve">======
ID#AAAB1R55pBI
Ayelen Lopez Sanatorio Mayo    (2026-03-03 11:55:30)
consult+estudios gastro</t>
      </text>
    </comment>
    <comment authorId="0" ref="E80">
      <text>
        <t xml:space="preserve">======
ID#AAAB1R55pBA
Ayelen Lopez Sanatorio Mayo    (2026-03-03 11:53:53)
coseg. de apross (taller geom) NO liq. x caja, se descuenta copart.
------
ID#AAAB5t7Vo4E
Ayelen Lopez Sanatorio Mayo    (2026-04-19 16:26:34)
no hubo liq. de part. x Caja en Enero, se descuenta toda COPART. (part+coseg.)</t>
      </text>
    </comment>
    <comment authorId="0" ref="E42">
      <text>
        <t xml:space="preserve">======
ID#AAABvmXR4Ps
Ayelen Lopez Sanatorio Mayo    (2026-03-02 19:06:51)
coseg. apross YA LIQUIDADOS en caja, se computa particulares y coseg. varios</t>
      </text>
    </comment>
    <comment authorId="0" ref="E41">
      <text>
        <t xml:space="preserve">======
ID#AAABvmXR4Pk
Ayelen Lopez Sanatorio Mayo    (2026-03-02 18:56:33)
resto no retenido en caja</t>
      </text>
    </comment>
    <comment authorId="0" ref="E40">
      <text>
        <t xml:space="preserve">======
ID#AAABvmXR4Pc
Ayelen Lopez Sanatorio Mayo    (2026-03-02 18:45:12)
resto no retenido en caja</t>
      </text>
    </comment>
    <comment authorId="0" ref="E6">
      <text>
        <t xml:space="preserve">======
ID#AAABvmXR4PQ
Ayelen Lopez Sanatorio Mayo    (2026-03-02 18:06:44)
ANALIA PASA DATO</t>
      </text>
    </comment>
  </commentList>
  <extLst>
    <ext uri="GoogleSheetsCustomDataVersion2">
      <go:sheetsCustomData xmlns:go="http://customooxmlschemas.google.com/" r:id="rId1" roundtripDataSignature="AMtx7mgR2uvu3Z5KvSm7V7fRZo1Nzh2yw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">
      <text>
        <t xml:space="preserve">liq. por caja
======</t>
      </text>
    </comment>
    <comment authorId="0" ref="E53">
      <text>
        <t xml:space="preserve">liq. por caja
======</t>
      </text>
    </comment>
    <comment authorId="0" ref="K69">
      <text>
        <t xml:space="preserve">SUMAR A DR G.C.JERONIMO
======</t>
      </text>
    </comment>
    <comment authorId="0" ref="N69">
      <text>
        <t xml:space="preserve">SUMAR A DR G.C.JERONIMO
======</t>
      </text>
    </comment>
    <comment authorId="0" ref="N70">
      <text>
        <t xml:space="preserve">SUMAR A DR G.C.JERONIMO
======</t>
      </text>
    </comment>
    <comment authorId="0" ref="E80">
      <text>
        <t xml:space="preserve">======
ID#AAAB3885Vkk
Ayelen Lopez Sanatorio Mayo    (2026-04-21 19:48:01)
coseg. de apross (taller geom) NO liq. x caja, se descuenta copart.</t>
      </text>
    </comment>
  </commentList>
  <extLst>
    <ext uri="GoogleSheetsCustomDataVersion2">
      <go:sheetsCustomData xmlns:go="http://customooxmlschemas.google.com/" r:id="rId1" roundtripDataSignature="AMtx7mj6HFRSPKLToiklhyGgItWKMf7SA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8">
      <text>
        <t xml:space="preserve">liq. por caja
======</t>
      </text>
    </comment>
    <comment authorId="0" ref="E53">
      <text>
        <t xml:space="preserve">liq. por caja
======</t>
      </text>
    </comment>
    <comment authorId="0" ref="K69">
      <text>
        <t xml:space="preserve">SUMAR A DR G.C.JERONIMO
======</t>
      </text>
    </comment>
    <comment authorId="0" ref="N69">
      <text>
        <t xml:space="preserve">SUMAR A DR G.C.JERONIMO
======</t>
      </text>
    </comment>
    <comment authorId="0" ref="N70">
      <text>
        <t xml:space="preserve">SUMAR A DR G.C.JERONIMO
======</t>
      </text>
    </comment>
  </commentList>
</comments>
</file>

<file path=xl/sharedStrings.xml><?xml version="1.0" encoding="utf-8"?>
<sst xmlns="http://schemas.openxmlformats.org/spreadsheetml/2006/main" count="714" uniqueCount="185">
  <si>
    <t>RESUMEN MENSUAL DE COPARTICIPACION - SANATORIO MAYO PRIVADO S.A.</t>
  </si>
  <si>
    <t>Coseguros de Apross y OOSS + Particulares - S.Mayo</t>
  </si>
  <si>
    <t>COP. APROSS prest. DIRECTOS</t>
  </si>
  <si>
    <t>COPA . COOP. HORIZONTE prest. DIRECTOS</t>
  </si>
  <si>
    <t>COPA . RED PRESTACIONAL prest. DIRECTOS</t>
  </si>
  <si>
    <t>Total a</t>
  </si>
  <si>
    <t>% Dist.</t>
  </si>
  <si>
    <t>TOTAL</t>
  </si>
  <si>
    <t>IMPORTES TOTALES A DESCONTAR EN CTAS CTES</t>
  </si>
  <si>
    <t>SERVICIO</t>
  </si>
  <si>
    <t>mat</t>
  </si>
  <si>
    <t>PROFESIONAL</t>
  </si>
  <si>
    <t>% de Copart. x Profesional</t>
  </si>
  <si>
    <t>total valorizado</t>
  </si>
  <si>
    <t>Copa 12/25</t>
  </si>
  <si>
    <t>cant. atte</t>
  </si>
  <si>
    <t>x Prof.</t>
  </si>
  <si>
    <t>SERVICIO - CONTA</t>
  </si>
  <si>
    <t>GECLISA</t>
  </si>
  <si>
    <t>Alergia e Inmunología</t>
  </si>
  <si>
    <t>Andrenacci, Miriam</t>
  </si>
  <si>
    <t>33-Alergia e Inmunología</t>
  </si>
  <si>
    <t>Vich, Alejandra</t>
  </si>
  <si>
    <t>ANATOMÍA PAT.</t>
  </si>
  <si>
    <t>Giraudo, Pedro</t>
  </si>
  <si>
    <t>MONTO ANALIA</t>
  </si>
  <si>
    <t>9-C.RESONANCIA</t>
  </si>
  <si>
    <t>servicio</t>
  </si>
  <si>
    <t>Centro de Resonancia</t>
  </si>
  <si>
    <t>Clínica Quirúrgica</t>
  </si>
  <si>
    <t>Cooke, José Alberto</t>
  </si>
  <si>
    <t xml:space="preserve">Matus, Gustavo </t>
  </si>
  <si>
    <t>1-Clínica Quirúrgica</t>
  </si>
  <si>
    <t>Zurita, Gonzalo</t>
  </si>
  <si>
    <t>RESID. CX GRAL</t>
  </si>
  <si>
    <t>RESIDENTE SE SUMA AL GENERAL Y SE DISTRIBUYE EN EQUIPO</t>
  </si>
  <si>
    <t xml:space="preserve">Clínica Médica </t>
  </si>
  <si>
    <t>Manzone, Gustavo</t>
  </si>
  <si>
    <t xml:space="preserve">14-Clínica Médica </t>
  </si>
  <si>
    <t>Bravo, Eduardo O.</t>
  </si>
  <si>
    <t>Cx Vasc. Perif.</t>
  </si>
  <si>
    <t>Fontaine, Cristian</t>
  </si>
  <si>
    <t>26-Cx Vasc. Perif.</t>
  </si>
  <si>
    <t>PELAEZ RODRIGO</t>
  </si>
  <si>
    <t>SE SUMA A FONTAINE</t>
  </si>
  <si>
    <t>Cirugía Plástica</t>
  </si>
  <si>
    <t>Romero Arena, F.</t>
  </si>
  <si>
    <t>20-Cirugía Plástica</t>
  </si>
  <si>
    <t>Paoletti, Javier</t>
  </si>
  <si>
    <t>40-Cirugía Hepática / Percutanea</t>
  </si>
  <si>
    <t xml:space="preserve">Alvarez, Fernando </t>
  </si>
  <si>
    <t>Cirugía de Torax</t>
  </si>
  <si>
    <t>Duran, Natalia</t>
  </si>
  <si>
    <t>36-Cirugía de Torax</t>
  </si>
  <si>
    <t>Repetti, Jose Luis</t>
  </si>
  <si>
    <t>Cirugía Cabeza y Cuello</t>
  </si>
  <si>
    <t>Corball Alberto</t>
  </si>
  <si>
    <t>Menso, Nicolás</t>
  </si>
  <si>
    <t>35-Cirugía Cabeza y Cuello</t>
  </si>
  <si>
    <t>Flores, Gabriel Alejandro</t>
  </si>
  <si>
    <t>Cirugía Cardíaca</t>
  </si>
  <si>
    <t>GUEVARA</t>
  </si>
  <si>
    <t>22-Cirugía Cardíaca</t>
  </si>
  <si>
    <t>BOCHINFUSO MATIAS</t>
  </si>
  <si>
    <t>CARDIOLOGIA</t>
  </si>
  <si>
    <t>SERV.</t>
  </si>
  <si>
    <t>ERGO</t>
  </si>
  <si>
    <t>HOLTER</t>
  </si>
  <si>
    <t>MAPAS</t>
  </si>
  <si>
    <t>DOPPLER CARD</t>
  </si>
  <si>
    <t>Costantino, Ana Laura</t>
  </si>
  <si>
    <t>Anauch, Daniel</t>
  </si>
  <si>
    <t>DR ANAUCH RECIBE PAGO POR LO QUE SE DESCUENTA COPART. A EL</t>
  </si>
  <si>
    <t xml:space="preserve">Bueno, German </t>
  </si>
  <si>
    <t>Coscia, Esteban</t>
  </si>
  <si>
    <t>ya cargada</t>
  </si>
  <si>
    <t>Vallejo, Nicolas</t>
  </si>
  <si>
    <t>Dermatología</t>
  </si>
  <si>
    <t>Caminos, Raúl</t>
  </si>
  <si>
    <t>19-Dermatología</t>
  </si>
  <si>
    <t>Mandrile, Ma Julia</t>
  </si>
  <si>
    <t>Endocrinología</t>
  </si>
  <si>
    <t>Sanchez Sandona,C</t>
  </si>
  <si>
    <t>25-Endocrinología</t>
  </si>
  <si>
    <t>Borgonovo, Jose</t>
  </si>
  <si>
    <t>37-Fonoaudiología</t>
  </si>
  <si>
    <t>Serlin, Debora</t>
  </si>
  <si>
    <t>GEOM</t>
  </si>
  <si>
    <t>Andino, Sandra</t>
  </si>
  <si>
    <t>Lukasiewicz, Mónica</t>
  </si>
  <si>
    <t>Rodriguez Obligado Micaela</t>
  </si>
  <si>
    <t>Bonfil Adrian</t>
  </si>
  <si>
    <t>41-GEOM</t>
  </si>
  <si>
    <t>Claria, Jorge A.</t>
  </si>
  <si>
    <t>Gastroenterología + Est. GASTRO</t>
  </si>
  <si>
    <t xml:space="preserve">Iriarte, Horacio </t>
  </si>
  <si>
    <t>Bonaparte, Fernando</t>
  </si>
  <si>
    <t>6-Gastroenterología</t>
  </si>
  <si>
    <t xml:space="preserve">Strumia, Silvina </t>
  </si>
  <si>
    <t>Ginecología</t>
  </si>
  <si>
    <t>Gil, Ana María</t>
  </si>
  <si>
    <t>Arrechea, Mariana</t>
  </si>
  <si>
    <t>Capovilla, Claudia</t>
  </si>
  <si>
    <t>Piovano, Maria P.</t>
  </si>
  <si>
    <t>10-Ginecología</t>
  </si>
  <si>
    <t>Canavesio Carola</t>
  </si>
  <si>
    <t>23-HEMATOLOGIA</t>
  </si>
  <si>
    <t>AUDENINO</t>
  </si>
  <si>
    <t>Infectología y Bacteriología</t>
  </si>
  <si>
    <t>Ambasch, Germán</t>
  </si>
  <si>
    <t>24-Infectología y Bacteriología</t>
  </si>
  <si>
    <t>Maldonado, Miriam</t>
  </si>
  <si>
    <t>Kinesiología</t>
  </si>
  <si>
    <t>servicio Fisioterapia</t>
  </si>
  <si>
    <t>Leonardi, María F.</t>
  </si>
  <si>
    <t>18-Kinesiología</t>
  </si>
  <si>
    <t>Trossero, Silvina</t>
  </si>
  <si>
    <t>4-LABORATORIO</t>
  </si>
  <si>
    <t xml:space="preserve">Martinez, Marcelo </t>
  </si>
  <si>
    <t>MONTO FIJO, LUEGO SE AJUSTA SEGUN MONTOS ANALIA</t>
  </si>
  <si>
    <t>Nefrología</t>
  </si>
  <si>
    <t>Aliciardi, Enrique</t>
  </si>
  <si>
    <t>11-Nefrología</t>
  </si>
  <si>
    <t>Andres, Judith Elizabeth</t>
  </si>
  <si>
    <t>32-Neumonología</t>
  </si>
  <si>
    <t>Perez, Jose</t>
  </si>
  <si>
    <t>12-Neurocirugía</t>
  </si>
  <si>
    <t>Berra, Matías S.</t>
  </si>
  <si>
    <t>Sanchez, Javier</t>
  </si>
  <si>
    <t>Almagro Allende Stefania</t>
  </si>
  <si>
    <t>Neurología</t>
  </si>
  <si>
    <t>Bohemi, Javier</t>
  </si>
  <si>
    <t>29-Neurología</t>
  </si>
  <si>
    <t>Alfonso, Natalia</t>
  </si>
  <si>
    <t>28-Nutrición</t>
  </si>
  <si>
    <t>De Bedia Quintana</t>
  </si>
  <si>
    <t>Oftalmología</t>
  </si>
  <si>
    <t>Gonzalez Castellanos, Jeronimo</t>
  </si>
  <si>
    <t>Gonzalez Castellanos, Ma. Sofia</t>
  </si>
  <si>
    <t>Gonzalez Castellanos, J.Cruz</t>
  </si>
  <si>
    <t>Alvarez, Ma. Alejandra</t>
  </si>
  <si>
    <t>13-Oftalmología</t>
  </si>
  <si>
    <t>Lauria, Luis</t>
  </si>
  <si>
    <t>21-ORL</t>
  </si>
  <si>
    <t>Freire Buteler, Ignacio</t>
  </si>
  <si>
    <t>Oncología</t>
  </si>
  <si>
    <t>Acosta, Luciana</t>
  </si>
  <si>
    <t>Magi, Ignacio</t>
  </si>
  <si>
    <t>Molina, Matias</t>
  </si>
  <si>
    <t>Richardet, Eduardo</t>
  </si>
  <si>
    <t>Perea, Pablo</t>
  </si>
  <si>
    <t>15-Oncología</t>
  </si>
  <si>
    <t>Richardet, Valeria</t>
  </si>
  <si>
    <t>31-Psicología</t>
  </si>
  <si>
    <t>Lucero Monica</t>
  </si>
  <si>
    <t>Reumatología</t>
  </si>
  <si>
    <t>Moriondo, Ruth</t>
  </si>
  <si>
    <t>34-Reumatología</t>
  </si>
  <si>
    <t>Díaz, Cecilia</t>
  </si>
  <si>
    <t>Traumatología</t>
  </si>
  <si>
    <t>Roldan, Lucas</t>
  </si>
  <si>
    <t>Campos Ayrton</t>
  </si>
  <si>
    <t>Masud Karim</t>
  </si>
  <si>
    <t>Beningazza, Gab.</t>
  </si>
  <si>
    <t>DR BENINGAZA RECIBE PAGO POR LO QUE SE DESCUENTA COPART. A EL</t>
  </si>
  <si>
    <t>Ferreyra, Pablo</t>
  </si>
  <si>
    <t>Guzman, Nicolas</t>
  </si>
  <si>
    <t>Cerezo, Emanuel</t>
  </si>
  <si>
    <t>Villafañe, Gonzalo</t>
  </si>
  <si>
    <t>Gorgas, Alberto</t>
  </si>
  <si>
    <t>Ludueña Juan</t>
  </si>
  <si>
    <t>Jais Jais, Jose</t>
  </si>
  <si>
    <t>7-Traumatología</t>
  </si>
  <si>
    <t>Arocena, Mariano</t>
  </si>
  <si>
    <t>Urología</t>
  </si>
  <si>
    <t>Sonzini Ast., Crist.</t>
  </si>
  <si>
    <t>Pinto, Gabriel</t>
  </si>
  <si>
    <t>Meicke, Sofia</t>
  </si>
  <si>
    <t>17-Urología</t>
  </si>
  <si>
    <t>Pastrana Rodrigo</t>
  </si>
  <si>
    <t>COPART. COSEGUROS, PART. Y APROSS AMBULATORIO - 01/26</t>
  </si>
  <si>
    <t>COPART. COSEGUROS, PART. Y APROSS AMBULATORIO - 02/26</t>
  </si>
  <si>
    <t>03/26</t>
  </si>
  <si>
    <t>Copartic. APROSS+COSEG+PART - MAR/26</t>
  </si>
  <si>
    <t>Copartic. APROSS + COSEG + PART - MAR/26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</si>
</sst>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/d"/>
    <numFmt numFmtId="165" formatCode="_-[$$-2C0A]\ * #,##0.00_-;\-[$$-2C0A]\ * #,##0.00_-;_-[$$-2C0A]\ * &quot;-&quot;??_-;_-@"/>
    <numFmt numFmtId="166" formatCode="&quot;$&quot;#,##0.00"/>
    <numFmt numFmtId="167" formatCode="mm/yy"/>
    <numFmt numFmtId="168" formatCode="&quot;$ &quot;#,##0.00"/>
  </numFmts>
  <fonts count="25">
    <font>
      <sz val="10.0"/>
      <color rgb="FF000000"/>
      <name val="Arial"/>
      <scheme val="minor"/>
    </font>
    <font>
      <b/>
      <i/>
      <sz val="12.0"/>
      <color theme="1"/>
      <name val="Arial"/>
    </font>
    <font>
      <b/>
      <sz val="9.0"/>
      <color theme="1"/>
      <name val="Arial"/>
    </font>
    <font/>
    <font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b/>
      <sz val="10.0"/>
      <color rgb="FFFF0000"/>
      <name val="Arial"/>
    </font>
    <font>
      <color theme="1"/>
      <name val="Arial"/>
      <scheme val="minor"/>
    </font>
    <font>
      <i/>
      <sz val="9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strike/>
      <sz val="10.0"/>
      <color theme="1"/>
      <name val="Arial"/>
    </font>
    <font>
      <b/>
      <strike/>
      <sz val="10.0"/>
      <color theme="1"/>
      <name val="Arial"/>
    </font>
    <font>
      <strike/>
      <color theme="1"/>
      <name val="Arial"/>
    </font>
    <font>
      <b/>
      <i/>
      <sz val="9.0"/>
      <color theme="1"/>
      <name val="Arial"/>
    </font>
    <font>
      <sz val="11.0"/>
      <color rgb="FF000000"/>
      <name val="Calibri"/>
    </font>
    <font>
      <b/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trike/>
      <sz val="9.0"/>
      <color theme="1"/>
      <name val="Arial"/>
    </font>
    <font>
      <strike/>
      <sz val="9.0"/>
      <color theme="1"/>
      <name val="Arial"/>
    </font>
    <font>
      <strike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99"/>
        <bgColor rgb="FFFFFF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EF2CB"/>
        <bgColor rgb="FFFEF2CB"/>
      </patternFill>
    </fill>
    <fill>
      <patternFill patternType="solid">
        <fgColor rgb="FFFF99CC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6">
    <border/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bottom style="medium">
        <color rgb="FF000000"/>
      </bottom>
    </border>
    <border>
      <left style="thin">
        <color rgb="FF999999"/>
      </left>
      <right style="thin">
        <color rgb="FF999999"/>
      </right>
    </border>
    <border>
      <left style="thin">
        <color rgb="FF969696"/>
      </left>
      <right style="thin">
        <color rgb="FF969696"/>
      </right>
    </border>
    <border>
      <left style="thin">
        <color rgb="FF969696"/>
      </left>
      <right style="thin">
        <color rgb="FF969696"/>
      </right>
      <top style="thin">
        <color rgb="FF969696"/>
      </top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4" xfId="0" applyAlignment="1" applyBorder="1" applyFont="1" applyNumberFormat="1">
      <alignment horizontal="left" vertical="center"/>
    </xf>
    <xf borderId="1" fillId="2" fontId="1" numFmtId="3" xfId="0" applyAlignment="1" applyBorder="1" applyFont="1" applyNumberForma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3" fontId="1" numFmtId="164" xfId="0" applyAlignment="1" applyBorder="1" applyFill="1" applyFont="1" applyNumberFormat="1">
      <alignment horizontal="center" readingOrder="0" vertical="center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4" fontId="2" numFmtId="4" xfId="0" applyAlignment="1" applyBorder="1" applyFill="1" applyFont="1" applyNumberFormat="1">
      <alignment horizontal="center" shrinkToFit="0" vertical="center" wrapText="1"/>
    </xf>
    <xf borderId="7" fillId="0" fontId="3" numFmtId="0" xfId="0" applyBorder="1" applyFont="1"/>
    <xf borderId="6" fillId="5" fontId="2" numFmtId="3" xfId="0" applyAlignment="1" applyBorder="1" applyFill="1" applyFont="1" applyNumberFormat="1">
      <alignment horizontal="center" shrinkToFit="0" vertical="center" wrapText="1"/>
    </xf>
    <xf borderId="8" fillId="0" fontId="3" numFmtId="0" xfId="0" applyBorder="1" applyFont="1"/>
    <xf borderId="6" fillId="6" fontId="2" numFmtId="3" xfId="0" applyAlignment="1" applyBorder="1" applyFill="1" applyFont="1" applyNumberFormat="1">
      <alignment horizontal="center" shrinkToFit="0" vertical="center" wrapText="1"/>
    </xf>
    <xf borderId="6" fillId="7" fontId="2" numFmtId="3" xfId="0" applyAlignment="1" applyBorder="1" applyFill="1" applyFont="1" applyNumberFormat="1">
      <alignment horizontal="center" shrinkToFit="0" vertical="center" wrapText="1"/>
    </xf>
    <xf borderId="9" fillId="2" fontId="2" numFmtId="0" xfId="0" applyAlignment="1" applyBorder="1" applyFont="1">
      <alignment horizontal="center" vertical="center"/>
    </xf>
    <xf borderId="10" fillId="2" fontId="2" numFmtId="4" xfId="0" applyAlignment="1" applyBorder="1" applyFont="1" applyNumberFormat="1">
      <alignment horizontal="center" vertical="center"/>
    </xf>
    <xf borderId="3" fillId="3" fontId="2" numFmtId="165" xfId="0" applyAlignment="1" applyBorder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14" fillId="4" fontId="2" numFmtId="4" xfId="0" applyAlignment="1" applyBorder="1" applyFont="1" applyNumberFormat="1">
      <alignment horizontal="center" shrinkToFit="0" vertical="center" wrapText="1"/>
    </xf>
    <xf borderId="15" fillId="4" fontId="2" numFmtId="4" xfId="0" applyAlignment="1" applyBorder="1" applyFont="1" applyNumberFormat="1">
      <alignment horizontal="center" shrinkToFit="0" vertical="center" wrapText="1"/>
    </xf>
    <xf borderId="16" fillId="5" fontId="2" numFmtId="3" xfId="0" applyAlignment="1" applyBorder="1" applyFont="1" applyNumberFormat="1">
      <alignment horizontal="center" shrinkToFit="0" vertical="center" wrapText="1"/>
    </xf>
    <xf borderId="14" fillId="5" fontId="2" numFmtId="166" xfId="0" applyAlignment="1" applyBorder="1" applyFont="1" applyNumberFormat="1">
      <alignment horizontal="center" shrinkToFit="0" vertical="center" wrapText="1"/>
    </xf>
    <xf borderId="14" fillId="5" fontId="2" numFmtId="0" xfId="0" applyAlignment="1" applyBorder="1" applyFont="1">
      <alignment horizontal="center" shrinkToFit="0" vertical="center" wrapText="1"/>
    </xf>
    <xf borderId="17" fillId="5" fontId="2" numFmtId="0" xfId="0" applyAlignment="1" applyBorder="1" applyFont="1">
      <alignment horizontal="center" shrinkToFit="0" vertical="center" wrapText="1"/>
    </xf>
    <xf borderId="16" fillId="6" fontId="2" numFmtId="3" xfId="0" applyAlignment="1" applyBorder="1" applyFont="1" applyNumberFormat="1">
      <alignment horizontal="center" shrinkToFit="0" vertical="center" wrapText="1"/>
    </xf>
    <xf borderId="14" fillId="6" fontId="2" numFmtId="166" xfId="0" applyAlignment="1" applyBorder="1" applyFont="1" applyNumberFormat="1">
      <alignment horizontal="center" shrinkToFit="0" vertical="center" wrapText="1"/>
    </xf>
    <xf borderId="18" fillId="6" fontId="2" numFmtId="0" xfId="0" applyAlignment="1" applyBorder="1" applyFont="1">
      <alignment horizontal="center" shrinkToFit="0" vertical="center" wrapText="1"/>
    </xf>
    <xf borderId="16" fillId="7" fontId="2" numFmtId="3" xfId="0" applyAlignment="1" applyBorder="1" applyFont="1" applyNumberFormat="1">
      <alignment horizontal="center" shrinkToFit="0" vertical="center" wrapText="1"/>
    </xf>
    <xf borderId="14" fillId="7" fontId="2" numFmtId="166" xfId="0" applyAlignment="1" applyBorder="1" applyFont="1" applyNumberFormat="1">
      <alignment horizontal="center" shrinkToFit="0" vertical="center" wrapText="1"/>
    </xf>
    <xf borderId="18" fillId="7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2" numFmtId="167" xfId="0" applyAlignment="1" applyBorder="1" applyFont="1" applyNumberFormat="1">
      <alignment horizontal="center" shrinkToFit="0" vertical="center" wrapText="1"/>
    </xf>
    <xf borderId="17" fillId="2" fontId="2" numFmtId="4" xfId="0" applyAlignment="1" applyBorder="1" applyFont="1" applyNumberFormat="1">
      <alignment horizontal="center" shrinkToFit="0" vertical="center" wrapText="1"/>
    </xf>
    <xf borderId="19" fillId="3" fontId="2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left" vertical="center"/>
    </xf>
    <xf borderId="22" fillId="0" fontId="5" numFmtId="2" xfId="0" applyAlignment="1" applyBorder="1" applyFont="1" applyNumberFormat="1">
      <alignment horizontal="center"/>
    </xf>
    <xf borderId="23" fillId="0" fontId="6" numFmtId="4" xfId="0" applyAlignment="1" applyBorder="1" applyFont="1" applyNumberFormat="1">
      <alignment horizontal="right" readingOrder="0" shrinkToFit="0" vertical="bottom" wrapText="0"/>
    </xf>
    <xf borderId="24" fillId="0" fontId="7" numFmtId="4" xfId="0" applyBorder="1" applyFont="1" applyNumberFormat="1"/>
    <xf borderId="25" fillId="0" fontId="6" numFmtId="3" xfId="0" applyAlignment="1" applyBorder="1" applyFont="1" applyNumberFormat="1">
      <alignment readingOrder="0"/>
    </xf>
    <xf borderId="21" fillId="0" fontId="6" numFmtId="4" xfId="0" applyBorder="1" applyFont="1" applyNumberFormat="1"/>
    <xf borderId="26" fillId="0" fontId="7" numFmtId="4" xfId="0" applyBorder="1" applyFont="1" applyNumberFormat="1"/>
    <xf borderId="21" fillId="0" fontId="6" numFmtId="3" xfId="0" applyAlignment="1" applyBorder="1" applyFont="1" applyNumberFormat="1">
      <alignment readingOrder="0"/>
    </xf>
    <xf borderId="27" fillId="0" fontId="7" numFmtId="4" xfId="0" applyBorder="1" applyFont="1" applyNumberFormat="1"/>
    <xf borderId="21" fillId="0" fontId="7" numFmtId="4" xfId="0" applyBorder="1" applyFont="1" applyNumberFormat="1"/>
    <xf borderId="22" fillId="0" fontId="7" numFmtId="168" xfId="0" applyBorder="1" applyFont="1" applyNumberFormat="1"/>
    <xf borderId="22" fillId="0" fontId="7" numFmtId="9" xfId="0" applyAlignment="1" applyBorder="1" applyFont="1" applyNumberFormat="1">
      <alignment horizontal="center"/>
    </xf>
    <xf borderId="21" fillId="0" fontId="7" numFmtId="168" xfId="0" applyAlignment="1" applyBorder="1" applyFont="1" applyNumberFormat="1">
      <alignment horizontal="right"/>
    </xf>
    <xf borderId="3" fillId="3" fontId="2" numFmtId="165" xfId="0" applyBorder="1" applyFont="1" applyNumberFormat="1"/>
    <xf borderId="28" fillId="0" fontId="2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left" vertical="center"/>
    </xf>
    <xf borderId="30" fillId="0" fontId="5" numFmtId="2" xfId="0" applyAlignment="1" applyBorder="1" applyFont="1" applyNumberFormat="1">
      <alignment horizontal="center"/>
    </xf>
    <xf borderId="0" fillId="0" fontId="6" numFmtId="4" xfId="0" applyAlignment="1" applyFont="1" applyNumberFormat="1">
      <alignment readingOrder="0" shrinkToFit="0" vertical="bottom" wrapText="0"/>
    </xf>
    <xf borderId="31" fillId="0" fontId="7" numFmtId="4" xfId="0" applyBorder="1" applyFont="1" applyNumberFormat="1"/>
    <xf borderId="32" fillId="0" fontId="6" numFmtId="3" xfId="0" applyAlignment="1" applyBorder="1" applyFont="1" applyNumberFormat="1">
      <alignment readingOrder="0"/>
    </xf>
    <xf borderId="29" fillId="0" fontId="6" numFmtId="4" xfId="0" applyBorder="1" applyFont="1" applyNumberFormat="1"/>
    <xf borderId="33" fillId="0" fontId="7" numFmtId="4" xfId="0" applyBorder="1" applyFont="1" applyNumberFormat="1"/>
    <xf borderId="34" fillId="2" fontId="6" numFmtId="3" xfId="0" applyBorder="1" applyFont="1" applyNumberFormat="1"/>
    <xf borderId="34" fillId="2" fontId="6" numFmtId="168" xfId="0" applyBorder="1" applyFont="1" applyNumberFormat="1"/>
    <xf borderId="18" fillId="2" fontId="7" numFmtId="168" xfId="0" applyBorder="1" applyFont="1" applyNumberFormat="1"/>
    <xf borderId="35" fillId="0" fontId="7" numFmtId="9" xfId="0" applyAlignment="1" applyBorder="1" applyFont="1" applyNumberFormat="1">
      <alignment horizontal="center"/>
    </xf>
    <xf borderId="11" fillId="8" fontId="7" numFmtId="168" xfId="0" applyAlignment="1" applyBorder="1" applyFill="1" applyFont="1" applyNumberFormat="1">
      <alignment horizontal="right"/>
    </xf>
    <xf borderId="19" fillId="3" fontId="2" numFmtId="165" xfId="0" applyBorder="1" applyFont="1" applyNumberFormat="1"/>
    <xf borderId="3" fillId="9" fontId="2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left" vertical="center"/>
    </xf>
    <xf borderId="36" fillId="9" fontId="5" numFmtId="168" xfId="0" applyBorder="1" applyFont="1" applyNumberFormat="1"/>
    <xf borderId="10" fillId="9" fontId="7" numFmtId="4" xfId="0" applyBorder="1" applyFont="1" applyNumberFormat="1"/>
    <xf borderId="37" fillId="9" fontId="6" numFmtId="3" xfId="0" applyBorder="1" applyFont="1" applyNumberFormat="1"/>
    <xf borderId="4" fillId="9" fontId="6" numFmtId="168" xfId="0" applyBorder="1" applyFont="1" applyNumberFormat="1"/>
    <xf borderId="38" fillId="9" fontId="7" numFmtId="168" xfId="0" applyBorder="1" applyFont="1" applyNumberFormat="1"/>
    <xf borderId="4" fillId="9" fontId="6" numFmtId="3" xfId="0" applyBorder="1" applyFont="1" applyNumberFormat="1"/>
    <xf borderId="5" fillId="9" fontId="7" numFmtId="168" xfId="0" applyBorder="1" applyFont="1" applyNumberFormat="1"/>
    <xf borderId="36" fillId="9" fontId="7" numFmtId="168" xfId="0" applyBorder="1" applyFont="1" applyNumberFormat="1"/>
    <xf borderId="9" fillId="9" fontId="6" numFmtId="168" xfId="0" applyBorder="1" applyFont="1" applyNumberFormat="1"/>
    <xf borderId="3" fillId="9" fontId="7" numFmtId="168" xfId="0" applyBorder="1" applyFont="1" applyNumberFormat="1"/>
    <xf borderId="39" fillId="2" fontId="5" numFmtId="165" xfId="0" applyBorder="1" applyFont="1" applyNumberFormat="1"/>
    <xf borderId="0" fillId="0" fontId="4" numFmtId="0" xfId="0" applyAlignment="1" applyFont="1">
      <alignment readingOrder="0"/>
    </xf>
    <xf borderId="11" fillId="0" fontId="2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left" vertical="center"/>
    </xf>
    <xf borderId="40" fillId="10" fontId="5" numFmtId="2" xfId="0" applyAlignment="1" applyBorder="1" applyFill="1" applyFont="1" applyNumberFormat="1">
      <alignment horizontal="center"/>
    </xf>
    <xf borderId="0" fillId="0" fontId="6" numFmtId="4" xfId="0" applyAlignment="1" applyFont="1" applyNumberFormat="1">
      <alignment horizontal="right" readingOrder="0" shrinkToFit="0" vertical="bottom" wrapText="0"/>
    </xf>
    <xf borderId="41" fillId="0" fontId="7" numFmtId="4" xfId="0" applyBorder="1" applyFont="1" applyNumberFormat="1"/>
    <xf borderId="42" fillId="2" fontId="8" numFmtId="3" xfId="0" applyBorder="1" applyFont="1" applyNumberFormat="1"/>
    <xf borderId="12" fillId="2" fontId="8" numFmtId="168" xfId="0" applyBorder="1" applyFont="1" applyNumberFormat="1"/>
    <xf borderId="43" fillId="2" fontId="9" numFmtId="168" xfId="0" applyBorder="1" applyFont="1" applyNumberFormat="1"/>
    <xf borderId="12" fillId="2" fontId="6" numFmtId="3" xfId="0" applyBorder="1" applyFont="1" applyNumberFormat="1"/>
    <xf borderId="12" fillId="2" fontId="6" numFmtId="168" xfId="0" applyBorder="1" applyFont="1" applyNumberFormat="1"/>
    <xf borderId="13" fillId="2" fontId="7" numFmtId="168" xfId="0" applyBorder="1" applyFont="1" applyNumberFormat="1"/>
    <xf borderId="44" fillId="0" fontId="7" numFmtId="9" xfId="0" applyAlignment="1" applyBorder="1" applyFont="1" applyNumberFormat="1">
      <alignment horizontal="center"/>
    </xf>
    <xf borderId="11" fillId="3" fontId="2" numFmtId="165" xfId="0" applyBorder="1" applyFont="1" applyNumberFormat="1"/>
    <xf borderId="45" fillId="0" fontId="5" numFmtId="2" xfId="0" applyAlignment="1" applyBorder="1" applyFont="1" applyNumberFormat="1">
      <alignment horizontal="center"/>
    </xf>
    <xf borderId="46" fillId="0" fontId="6" numFmtId="4" xfId="0" applyAlignment="1" applyBorder="1" applyFont="1" applyNumberFormat="1">
      <alignment readingOrder="0"/>
    </xf>
    <xf borderId="47" fillId="0" fontId="7" numFmtId="9" xfId="0" applyAlignment="1" applyBorder="1" applyFont="1" applyNumberFormat="1">
      <alignment horizontal="center"/>
    </xf>
    <xf borderId="0" fillId="0" fontId="6" numFmtId="0" xfId="0" applyFont="1"/>
    <xf borderId="48" fillId="3" fontId="2" numFmtId="165" xfId="0" applyBorder="1" applyFont="1" applyNumberFormat="1"/>
    <xf borderId="49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0" fillId="0" fontId="6" numFmtId="3" xfId="0" applyAlignment="1" applyBorder="1" applyFont="1" applyNumberFormat="1">
      <alignment readingOrder="0"/>
    </xf>
    <xf borderId="0" fillId="0" fontId="6" numFmtId="4" xfId="0" applyFont="1" applyNumberFormat="1"/>
    <xf borderId="0" fillId="0" fontId="6" numFmtId="3" xfId="0" applyAlignment="1" applyFont="1" applyNumberFormat="1">
      <alignment readingOrder="0"/>
    </xf>
    <xf borderId="51" fillId="2" fontId="6" numFmtId="3" xfId="0" applyBorder="1" applyFont="1" applyNumberFormat="1"/>
    <xf borderId="51" fillId="2" fontId="6" numFmtId="168" xfId="0" applyBorder="1" applyFont="1" applyNumberFormat="1"/>
    <xf borderId="52" fillId="2" fontId="7" numFmtId="168" xfId="0" applyBorder="1" applyFont="1" applyNumberFormat="1"/>
    <xf borderId="53" fillId="0" fontId="7" numFmtId="9" xfId="0" applyAlignment="1" applyBorder="1" applyFont="1" applyNumberFormat="1">
      <alignment horizontal="center"/>
    </xf>
    <xf borderId="54" fillId="2" fontId="6" numFmtId="3" xfId="0" applyBorder="1" applyFont="1" applyNumberFormat="1"/>
    <xf borderId="55" fillId="2" fontId="7" numFmtId="168" xfId="0" applyBorder="1" applyFont="1" applyNumberFormat="1"/>
    <xf borderId="51" fillId="11" fontId="5" numFmtId="0" xfId="0" applyAlignment="1" applyBorder="1" applyFill="1" applyFont="1">
      <alignment horizontal="center" vertical="center"/>
    </xf>
    <xf borderId="51" fillId="11" fontId="5" numFmtId="0" xfId="0" applyAlignment="1" applyBorder="1" applyFont="1">
      <alignment horizontal="left" vertical="center"/>
    </xf>
    <xf borderId="56" fillId="0" fontId="5" numFmtId="2" xfId="0" applyAlignment="1" applyBorder="1" applyFont="1" applyNumberFormat="1">
      <alignment horizontal="center"/>
    </xf>
    <xf borderId="57" fillId="11" fontId="6" numFmtId="4" xfId="0" applyAlignment="1" applyBorder="1" applyFont="1" applyNumberFormat="1">
      <alignment readingOrder="0"/>
    </xf>
    <xf borderId="52" fillId="11" fontId="7" numFmtId="4" xfId="0" applyBorder="1" applyFont="1" applyNumberFormat="1"/>
    <xf borderId="51" fillId="11" fontId="6" numFmtId="3" xfId="0" applyAlignment="1" applyBorder="1" applyFont="1" applyNumberFormat="1">
      <alignment readingOrder="0"/>
    </xf>
    <xf borderId="51" fillId="11" fontId="6" numFmtId="168" xfId="0" applyBorder="1" applyFont="1" applyNumberFormat="1"/>
    <xf borderId="52" fillId="11" fontId="7" numFmtId="168" xfId="0" applyBorder="1" applyFont="1" applyNumberFormat="1"/>
    <xf borderId="51" fillId="11" fontId="6" numFmtId="3" xfId="0" applyBorder="1" applyFont="1" applyNumberFormat="1"/>
    <xf borderId="0" fillId="0" fontId="10" numFmtId="0" xfId="0" applyAlignment="1" applyFont="1">
      <alignment readingOrder="0"/>
    </xf>
    <xf borderId="21" fillId="0" fontId="5" numFmtId="168" xfId="0" applyAlignment="1" applyBorder="1" applyFont="1" applyNumberFormat="1">
      <alignment horizontal="left"/>
    </xf>
    <xf borderId="36" fillId="10" fontId="5" numFmtId="2" xfId="0" applyAlignment="1" applyBorder="1" applyFont="1" applyNumberFormat="1">
      <alignment horizontal="center"/>
    </xf>
    <xf borderId="4" fillId="2" fontId="6" numFmtId="3" xfId="0" applyBorder="1" applyFont="1" applyNumberFormat="1"/>
    <xf borderId="4" fillId="2" fontId="6" numFmtId="168" xfId="0" applyBorder="1" applyFont="1" applyNumberFormat="1"/>
    <xf borderId="5" fillId="2" fontId="7" numFmtId="168" xfId="0" applyBorder="1" applyFont="1" applyNumberFormat="1"/>
    <xf borderId="24" fillId="0" fontId="7" numFmtId="168" xfId="0" applyAlignment="1" applyBorder="1" applyFont="1" applyNumberFormat="1">
      <alignment horizontal="right"/>
    </xf>
    <xf borderId="58" fillId="10" fontId="5" numFmtId="2" xfId="0" applyAlignment="1" applyBorder="1" applyFont="1" applyNumberFormat="1">
      <alignment horizontal="center"/>
    </xf>
    <xf borderId="25" fillId="0" fontId="2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59" fillId="0" fontId="5" numFmtId="2" xfId="0" applyAlignment="1" applyBorder="1" applyFont="1" applyNumberFormat="1">
      <alignment horizontal="center"/>
    </xf>
    <xf borderId="21" fillId="0" fontId="7" numFmtId="2" xfId="0" applyAlignment="1" applyBorder="1" applyFont="1" applyNumberFormat="1">
      <alignment horizontal="center"/>
    </xf>
    <xf borderId="26" fillId="0" fontId="6" numFmtId="0" xfId="0" applyBorder="1" applyFont="1"/>
    <xf borderId="38" fillId="3" fontId="2" numFmtId="165" xfId="0" applyBorder="1" applyFont="1" applyNumberFormat="1"/>
    <xf borderId="34" fillId="11" fontId="6" numFmtId="3" xfId="0" applyBorder="1" applyFont="1" applyNumberFormat="1"/>
    <xf borderId="34" fillId="11" fontId="6" numFmtId="168" xfId="0" applyBorder="1" applyFont="1" applyNumberFormat="1"/>
    <xf borderId="18" fillId="11" fontId="7" numFmtId="168" xfId="0" applyBorder="1" applyFont="1" applyNumberFormat="1"/>
    <xf borderId="37" fillId="2" fontId="6" numFmtId="3" xfId="0" applyBorder="1" applyFont="1" applyNumberFormat="1"/>
    <xf borderId="38" fillId="2" fontId="7" numFmtId="168" xfId="0" applyBorder="1" applyFont="1" applyNumberFormat="1"/>
    <xf borderId="47" fillId="0" fontId="7" numFmtId="168" xfId="0" applyAlignment="1" applyBorder="1" applyFont="1" applyNumberFormat="1">
      <alignment horizontal="right"/>
    </xf>
    <xf borderId="60" fillId="0" fontId="5" numFmtId="0" xfId="0" applyAlignment="1" applyBorder="1" applyFont="1">
      <alignment horizontal="center" vertical="center"/>
    </xf>
    <xf borderId="60" fillId="0" fontId="5" numFmtId="0" xfId="0" applyAlignment="1" applyBorder="1" applyFont="1">
      <alignment horizontal="left" vertical="center"/>
    </xf>
    <xf borderId="40" fillId="0" fontId="5" numFmtId="2" xfId="0" applyAlignment="1" applyBorder="1" applyFont="1" applyNumberFormat="1">
      <alignment horizontal="center"/>
    </xf>
    <xf borderId="46" fillId="0" fontId="6" numFmtId="4" xfId="0" applyBorder="1" applyFont="1" applyNumberFormat="1"/>
    <xf borderId="42" fillId="2" fontId="6" numFmtId="3" xfId="0" applyBorder="1" applyFont="1" applyNumberFormat="1"/>
    <xf borderId="43" fillId="2" fontId="7" numFmtId="168" xfId="0" applyBorder="1" applyFont="1" applyNumberFormat="1"/>
    <xf borderId="60" fillId="0" fontId="7" numFmtId="9" xfId="0" applyAlignment="1" applyBorder="1" applyFont="1" applyNumberFormat="1">
      <alignment horizontal="center"/>
    </xf>
    <xf borderId="42" fillId="8" fontId="7" numFmtId="168" xfId="0" applyAlignment="1" applyBorder="1" applyFont="1" applyNumberFormat="1">
      <alignment horizontal="right"/>
    </xf>
    <xf borderId="61" fillId="2" fontId="6" numFmtId="3" xfId="0" applyBorder="1" applyFont="1" applyNumberFormat="1"/>
    <xf borderId="39" fillId="2" fontId="7" numFmtId="168" xfId="0" applyBorder="1" applyFont="1" applyNumberForma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62" fillId="0" fontId="11" numFmtId="2" xfId="0" applyAlignment="1" applyBorder="1" applyFont="1" applyNumberFormat="1">
      <alignment horizontal="center"/>
    </xf>
    <xf borderId="63" fillId="0" fontId="12" numFmtId="4" xfId="0" applyBorder="1" applyFont="1" applyNumberFormat="1"/>
    <xf borderId="64" fillId="0" fontId="13" numFmtId="4" xfId="0" applyBorder="1" applyFont="1" applyNumberFormat="1"/>
    <xf borderId="0" fillId="0" fontId="7" numFmtId="9" xfId="0" applyAlignment="1" applyFont="1" applyNumberFormat="1">
      <alignment horizontal="center"/>
    </xf>
    <xf borderId="53" fillId="0" fontId="7" numFmtId="168" xfId="0" applyAlignment="1" applyBorder="1" applyFont="1" applyNumberFormat="1">
      <alignment horizontal="right"/>
    </xf>
    <xf borderId="59" fillId="0" fontId="7" numFmtId="9" xfId="0" applyAlignment="1" applyBorder="1" applyFont="1" applyNumberFormat="1">
      <alignment horizontal="center"/>
    </xf>
    <xf borderId="65" fillId="0" fontId="6" numFmtId="4" xfId="0" applyBorder="1" applyFont="1" applyNumberFormat="1"/>
    <xf borderId="29" fillId="0" fontId="7" numFmtId="9" xfId="0" applyAlignment="1" applyBorder="1" applyFont="1" applyNumberFormat="1">
      <alignment horizontal="center"/>
    </xf>
    <xf borderId="4" fillId="11" fontId="5" numFmtId="0" xfId="0" applyAlignment="1" applyBorder="1" applyFont="1">
      <alignment horizontal="center" vertical="center"/>
    </xf>
    <xf borderId="4" fillId="11" fontId="5" numFmtId="0" xfId="0" applyAlignment="1" applyBorder="1" applyFont="1">
      <alignment horizontal="left" vertical="center"/>
    </xf>
    <xf borderId="62" fillId="0" fontId="5" numFmtId="2" xfId="0" applyAlignment="1" applyBorder="1" applyFont="1" applyNumberFormat="1">
      <alignment horizontal="center"/>
    </xf>
    <xf borderId="66" fillId="11" fontId="6" numFmtId="4" xfId="0" applyBorder="1" applyFont="1" applyNumberFormat="1"/>
    <xf borderId="38" fillId="12" fontId="7" numFmtId="4" xfId="0" applyBorder="1" applyFill="1" applyFont="1" applyNumberFormat="1"/>
    <xf borderId="36" fillId="2" fontId="6" numFmtId="168" xfId="0" applyBorder="1" applyFont="1" applyNumberFormat="1"/>
    <xf borderId="3" fillId="2" fontId="5" numFmtId="165" xfId="0" applyBorder="1" applyFont="1" applyNumberFormat="1"/>
    <xf borderId="57" fillId="11" fontId="6" numFmtId="4" xfId="0" applyBorder="1" applyFont="1" applyNumberFormat="1"/>
    <xf borderId="55" fillId="12" fontId="7" numFmtId="4" xfId="0" applyBorder="1" applyFont="1" applyNumberFormat="1"/>
    <xf borderId="58" fillId="2" fontId="6" numFmtId="168" xfId="0" applyBorder="1" applyFont="1" applyNumberFormat="1"/>
    <xf borderId="48" fillId="2" fontId="5" numFmtId="165" xfId="0" applyBorder="1" applyFont="1" applyNumberFormat="1"/>
    <xf borderId="51" fillId="3" fontId="5" numFmtId="0" xfId="0" applyAlignment="1" applyBorder="1" applyFont="1">
      <alignment horizontal="center" vertical="center"/>
    </xf>
    <xf borderId="51" fillId="3" fontId="5" numFmtId="0" xfId="0" applyAlignment="1" applyBorder="1" applyFont="1">
      <alignment horizontal="left" vertical="center"/>
    </xf>
    <xf borderId="63" fillId="0" fontId="6" numFmtId="4" xfId="0" applyAlignment="1" applyBorder="1" applyFont="1" applyNumberFormat="1">
      <alignment readingOrder="0"/>
    </xf>
    <xf borderId="67" fillId="11" fontId="7" numFmtId="4" xfId="0" applyBorder="1" applyFont="1" applyNumberFormat="1"/>
    <xf borderId="40" fillId="12" fontId="7" numFmtId="168" xfId="0" applyBorder="1" applyFont="1" applyNumberFormat="1"/>
    <xf borderId="64" fillId="0" fontId="7" numFmtId="168" xfId="0" applyAlignment="1" applyBorder="1" applyFont="1" applyNumberFormat="1">
      <alignment horizontal="right"/>
    </xf>
    <xf borderId="0" fillId="13" fontId="4" numFmtId="0" xfId="0" applyFill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65" fillId="0" fontId="6" numFmtId="4" xfId="0" applyAlignment="1" applyBorder="1" applyFont="1" applyNumberFormat="1">
      <alignment readingOrder="0"/>
    </xf>
    <xf borderId="61" fillId="2" fontId="14" numFmtId="3" xfId="0" applyBorder="1" applyFont="1" applyNumberFormat="1"/>
    <xf borderId="34" fillId="2" fontId="14" numFmtId="168" xfId="0" applyBorder="1" applyFont="1" applyNumberFormat="1"/>
    <xf borderId="39" fillId="2" fontId="15" numFmtId="168" xfId="0" applyBorder="1" applyFont="1" applyNumberFormat="1"/>
    <xf borderId="34" fillId="2" fontId="14" numFmtId="3" xfId="0" applyBorder="1" applyFont="1" applyNumberFormat="1"/>
    <xf borderId="18" fillId="2" fontId="15" numFmtId="168" xfId="0" applyBorder="1" applyFont="1" applyNumberFormat="1"/>
    <xf borderId="35" fillId="0" fontId="15" numFmtId="9" xfId="0" applyAlignment="1" applyBorder="1" applyFont="1" applyNumberFormat="1">
      <alignment horizontal="center"/>
    </xf>
    <xf borderId="0" fillId="0" fontId="16" numFmtId="0" xfId="0" applyFont="1"/>
    <xf borderId="43" fillId="3" fontId="2" numFmtId="165" xfId="0" applyBorder="1" applyFont="1" applyNumberFormat="1"/>
    <xf borderId="68" fillId="0" fontId="2" numFmtId="0" xfId="0" applyAlignment="1" applyBorder="1" applyFont="1">
      <alignment horizontal="center" shrinkToFit="0" vertical="center" wrapText="1"/>
    </xf>
    <xf borderId="60" fillId="0" fontId="5" numFmtId="2" xfId="0" applyAlignment="1" applyBorder="1" applyFont="1" applyNumberFormat="1">
      <alignment horizontal="center"/>
    </xf>
    <xf borderId="69" fillId="0" fontId="7" numFmtId="4" xfId="0" applyBorder="1" applyFont="1" applyNumberFormat="1"/>
    <xf borderId="12" fillId="2" fontId="7" numFmtId="168" xfId="0" applyBorder="1" applyFont="1" applyNumberFormat="1"/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37" fillId="2" fontId="6" numFmtId="4" xfId="0" applyAlignment="1" applyBorder="1" applyFont="1" applyNumberFormat="1">
      <alignment readingOrder="0"/>
    </xf>
    <xf borderId="22" fillId="0" fontId="7" numFmtId="168" xfId="0" applyAlignment="1" applyBorder="1" applyFont="1" applyNumberFormat="1">
      <alignment horizontal="right"/>
    </xf>
    <xf borderId="54" fillId="2" fontId="6" numFmtId="4" xfId="0" applyAlignment="1" applyBorder="1" applyFont="1" applyNumberFormat="1">
      <alignment readingOrder="0"/>
    </xf>
    <xf borderId="62" fillId="0" fontId="7" numFmtId="168" xfId="0" applyAlignment="1" applyBorder="1" applyFont="1" applyNumberFormat="1">
      <alignment horizontal="right"/>
    </xf>
    <xf borderId="0" fillId="0" fontId="7" numFmtId="168" xfId="0" applyAlignment="1" applyFont="1" applyNumberFormat="1">
      <alignment horizontal="right"/>
    </xf>
    <xf borderId="55" fillId="3" fontId="2" numFmtId="165" xfId="0" applyBorder="1" applyFont="1" applyNumberFormat="1"/>
    <xf borderId="51" fillId="2" fontId="14" numFmtId="3" xfId="0" applyBorder="1" applyFont="1" applyNumberFormat="1"/>
    <xf borderId="51" fillId="2" fontId="14" numFmtId="168" xfId="0" applyBorder="1" applyFont="1" applyNumberFormat="1"/>
    <xf borderId="51" fillId="2" fontId="15" numFmtId="168" xfId="0" applyBorder="1" applyFont="1" applyNumberFormat="1"/>
    <xf borderId="51" fillId="2" fontId="7" numFmtId="168" xfId="0" applyBorder="1" applyFont="1" applyNumberFormat="1"/>
    <xf borderId="34" fillId="2" fontId="7" numFmtId="168" xfId="0" applyBorder="1" applyFont="1" applyNumberFormat="1"/>
    <xf borderId="30" fillId="0" fontId="7" numFmtId="168" xfId="0" applyAlignment="1" applyBorder="1" applyFont="1" applyNumberFormat="1">
      <alignment horizontal="right"/>
    </xf>
    <xf borderId="0" fillId="0" fontId="6" numFmtId="4" xfId="0" applyAlignment="1" applyFont="1" applyNumberFormat="1">
      <alignment shrinkToFit="0" vertical="bottom" wrapText="0"/>
    </xf>
    <xf borderId="70" fillId="2" fontId="6" numFmtId="4" xfId="0" applyBorder="1" applyFont="1" applyNumberFormat="1"/>
    <xf borderId="39" fillId="3" fontId="2" numFmtId="165" xfId="0" applyBorder="1" applyFont="1" applyNumberFormat="1"/>
    <xf borderId="29" fillId="0" fontId="6" numFmtId="4" xfId="0" applyAlignment="1" applyBorder="1" applyFont="1" applyNumberFormat="1">
      <alignment horizontal="right" readingOrder="0" shrinkToFit="0" vertical="bottom" wrapText="0"/>
    </xf>
    <xf borderId="37" fillId="3" fontId="2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left" vertical="center"/>
    </xf>
    <xf borderId="25" fillId="13" fontId="6" numFmtId="3" xfId="0" applyBorder="1" applyFont="1" applyNumberFormat="1"/>
    <xf borderId="21" fillId="0" fontId="6" numFmtId="168" xfId="0" applyBorder="1" applyFont="1" applyNumberFormat="1"/>
    <xf borderId="26" fillId="0" fontId="7" numFmtId="168" xfId="0" applyBorder="1" applyFont="1" applyNumberFormat="1"/>
    <xf borderId="42" fillId="3" fontId="2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left" vertical="center"/>
    </xf>
    <xf borderId="56" fillId="0" fontId="2" numFmtId="168" xfId="0" applyBorder="1" applyFont="1" applyNumberFormat="1"/>
    <xf borderId="32" fillId="13" fontId="6" numFmtId="3" xfId="0" applyBorder="1" applyFont="1" applyNumberFormat="1"/>
    <xf borderId="29" fillId="0" fontId="6" numFmtId="168" xfId="0" applyBorder="1" applyFont="1" applyNumberFormat="1"/>
    <xf borderId="33" fillId="0" fontId="7" numFmtId="168" xfId="0" applyBorder="1" applyFont="1" applyNumberFormat="1"/>
    <xf borderId="14" fillId="9" fontId="7" numFmtId="168" xfId="0" applyBorder="1" applyFont="1" applyNumberFormat="1"/>
    <xf borderId="11" fillId="9" fontId="2" numFmtId="0" xfId="0" applyAlignment="1" applyBorder="1" applyFont="1">
      <alignment horizontal="center" shrinkToFit="0" vertical="center" wrapText="1"/>
    </xf>
    <xf borderId="12" fillId="9" fontId="5" numFmtId="0" xfId="0" applyAlignment="1" applyBorder="1" applyFont="1">
      <alignment horizontal="center" vertical="center"/>
    </xf>
    <xf borderId="12" fillId="9" fontId="5" numFmtId="0" xfId="0" applyAlignment="1" applyBorder="1" applyFont="1">
      <alignment horizontal="left" vertical="center"/>
    </xf>
    <xf borderId="13" fillId="9" fontId="2" numFmtId="168" xfId="0" applyAlignment="1" applyBorder="1" applyFont="1" applyNumberFormat="1">
      <alignment horizontal="center"/>
    </xf>
    <xf borderId="70" fillId="9" fontId="7" numFmtId="4" xfId="0" applyAlignment="1" applyBorder="1" applyFont="1" applyNumberFormat="1">
      <alignment horizontal="left"/>
    </xf>
    <xf borderId="42" fillId="9" fontId="6" numFmtId="3" xfId="0" applyBorder="1" applyFont="1" applyNumberFormat="1"/>
    <xf borderId="12" fillId="9" fontId="6" numFmtId="168" xfId="0" applyBorder="1" applyFont="1" applyNumberFormat="1"/>
    <xf borderId="43" fillId="9" fontId="7" numFmtId="168" xfId="0" applyBorder="1" applyFont="1" applyNumberFormat="1"/>
    <xf borderId="12" fillId="9" fontId="6" numFmtId="3" xfId="0" applyBorder="1" applyFont="1" applyNumberFormat="1"/>
    <xf borderId="13" fillId="9" fontId="7" numFmtId="168" xfId="0" applyBorder="1" applyFont="1" applyNumberFormat="1"/>
    <xf borderId="40" fillId="9" fontId="7" numFmtId="168" xfId="0" applyBorder="1" applyFont="1" applyNumberFormat="1"/>
    <xf borderId="13" fillId="9" fontId="7" numFmtId="9" xfId="0" applyAlignment="1" applyBorder="1" applyFont="1" applyNumberFormat="1">
      <alignment horizontal="center"/>
    </xf>
    <xf borderId="43" fillId="8" fontId="7" numFmtId="168" xfId="0" applyAlignment="1" applyBorder="1" applyFont="1" applyNumberFormat="1">
      <alignment horizontal="right"/>
    </xf>
    <xf borderId="47" fillId="0" fontId="5" numFmtId="0" xfId="0" applyAlignment="1" applyBorder="1" applyFont="1">
      <alignment horizontal="left" vertical="center"/>
    </xf>
    <xf borderId="35" fillId="0" fontId="5" numFmtId="0" xfId="0" applyAlignment="1" applyBorder="1" applyFont="1">
      <alignment horizontal="left" vertical="center"/>
    </xf>
    <xf borderId="30" fillId="0" fontId="7" numFmtId="9" xfId="0" applyAlignment="1" applyBorder="1" applyFont="1" applyNumberFormat="1">
      <alignment horizontal="center"/>
    </xf>
    <xf borderId="60" fillId="0" fontId="6" numFmtId="4" xfId="0" applyAlignment="1" applyBorder="1" applyFont="1" applyNumberFormat="1">
      <alignment horizontal="right" readingOrder="0" shrinkToFit="0" vertical="bottom" wrapText="0"/>
    </xf>
    <xf borderId="68" fillId="0" fontId="6" numFmtId="3" xfId="0" applyAlignment="1" applyBorder="1" applyFont="1" applyNumberFormat="1">
      <alignment readingOrder="0"/>
    </xf>
    <xf borderId="60" fillId="0" fontId="6" numFmtId="4" xfId="0" applyBorder="1" applyFont="1" applyNumberFormat="1"/>
    <xf borderId="26" fillId="0" fontId="7" numFmtId="168" xfId="0" applyAlignment="1" applyBorder="1" applyFont="1" applyNumberFormat="1">
      <alignment horizontal="right"/>
    </xf>
    <xf borderId="53" fillId="0" fontId="5" numFmtId="0" xfId="0" applyAlignment="1" applyBorder="1" applyFont="1">
      <alignment horizontal="left" vertical="center"/>
    </xf>
    <xf borderId="62" fillId="0" fontId="7" numFmtId="9" xfId="0" applyAlignment="1" applyBorder="1" applyFont="1" applyNumberFormat="1">
      <alignment horizontal="center"/>
    </xf>
    <xf borderId="12" fillId="14" fontId="5" numFmtId="0" xfId="0" applyAlignment="1" applyBorder="1" applyFill="1" applyFont="1">
      <alignment horizontal="center" vertical="center"/>
    </xf>
    <xf borderId="12" fillId="14" fontId="5" numFmtId="0" xfId="0" applyAlignment="1" applyBorder="1" applyFont="1">
      <alignment horizontal="left" vertical="center"/>
    </xf>
    <xf borderId="40" fillId="0" fontId="7" numFmtId="9" xfId="0" applyAlignment="1" applyBorder="1" applyFont="1" applyNumberFormat="1">
      <alignment horizontal="center"/>
    </xf>
    <xf borderId="54" fillId="13" fontId="6" numFmtId="3" xfId="0" applyAlignment="1" applyBorder="1" applyFont="1" applyNumberFormat="1">
      <alignment readingOrder="0"/>
    </xf>
    <xf borderId="44" fillId="0" fontId="5" numFmtId="0" xfId="0" applyAlignment="1" applyBorder="1" applyFont="1">
      <alignment horizontal="left" vertical="center"/>
    </xf>
    <xf borderId="45" fillId="0" fontId="7" numFmtId="4" xfId="0" applyAlignment="1" applyBorder="1" applyFont="1" applyNumberFormat="1">
      <alignment horizontal="right"/>
    </xf>
    <xf borderId="70" fillId="2" fontId="6" numFmtId="4" xfId="0" applyAlignment="1" applyBorder="1" applyFont="1" applyNumberFormat="1">
      <alignment readingOrder="0"/>
    </xf>
    <xf borderId="66" fillId="11" fontId="6" numFmtId="4" xfId="0" applyAlignment="1" applyBorder="1" applyFont="1" applyNumberFormat="1">
      <alignment readingOrder="0"/>
    </xf>
    <xf borderId="5" fillId="11" fontId="7" numFmtId="4" xfId="0" applyBorder="1" applyFont="1" applyNumberFormat="1"/>
    <xf borderId="4" fillId="11" fontId="6" numFmtId="3" xfId="0" applyAlignment="1" applyBorder="1" applyFont="1" applyNumberFormat="1">
      <alignment readingOrder="0"/>
    </xf>
    <xf borderId="4" fillId="11" fontId="6" numFmtId="168" xfId="0" applyBorder="1" applyFont="1" applyNumberFormat="1"/>
    <xf borderId="5" fillId="11" fontId="7" numFmtId="168" xfId="0" applyBorder="1" applyFont="1" applyNumberFormat="1"/>
    <xf borderId="4" fillId="11" fontId="6" numFmtId="3" xfId="0" applyBorder="1" applyFont="1" applyNumberFormat="1"/>
    <xf borderId="38" fillId="2" fontId="5" numFmtId="165" xfId="0" applyBorder="1" applyFont="1" applyNumberFormat="1"/>
    <xf borderId="55" fillId="2" fontId="5" numFmtId="165" xfId="0" applyBorder="1" applyFont="1" applyNumberFormat="1"/>
    <xf borderId="67" fillId="11" fontId="7" numFmtId="166" xfId="0" applyBorder="1" applyFont="1" applyNumberFormat="1"/>
    <xf borderId="58" fillId="14" fontId="5" numFmtId="2" xfId="0" applyAlignment="1" applyBorder="1" applyFont="1" applyNumberFormat="1">
      <alignment horizontal="center"/>
    </xf>
    <xf borderId="53" fillId="0" fontId="15" numFmtId="9" xfId="0" applyAlignment="1" applyBorder="1" applyFont="1" applyNumberFormat="1">
      <alignment horizontal="center"/>
    </xf>
    <xf borderId="53" fillId="0" fontId="15" numFmtId="168" xfId="0" applyAlignment="1" applyBorder="1" applyFont="1" applyNumberFormat="1">
      <alignment horizontal="right"/>
    </xf>
    <xf borderId="0" fillId="0" fontId="14" numFmtId="0" xfId="0" applyFont="1"/>
    <xf borderId="29" fillId="0" fontId="6" numFmtId="3" xfId="0" applyAlignment="1" applyBorder="1" applyFont="1" applyNumberFormat="1">
      <alignment readingOrder="0"/>
    </xf>
    <xf borderId="71" fillId="3" fontId="2" numFmtId="165" xfId="0" applyBorder="1" applyFont="1" applyNumberFormat="1"/>
    <xf borderId="28" fillId="2" fontId="5" numFmtId="0" xfId="0" applyAlignment="1" applyBorder="1" applyFont="1">
      <alignment horizontal="right" shrinkToFit="0" vertical="center" wrapText="1"/>
    </xf>
    <xf borderId="72" fillId="2" fontId="5" numFmtId="0" xfId="0" applyAlignment="1" applyBorder="1" applyFont="1">
      <alignment horizontal="right" vertical="center"/>
    </xf>
    <xf borderId="28" fillId="2" fontId="17" numFmtId="4" xfId="0" applyAlignment="1" applyBorder="1" applyFont="1" applyNumberFormat="1">
      <alignment horizontal="right" vertical="center"/>
    </xf>
    <xf borderId="28" fillId="2" fontId="17" numFmtId="3" xfId="0" applyAlignment="1" applyBorder="1" applyFont="1" applyNumberFormat="1">
      <alignment horizontal="right" vertical="center"/>
    </xf>
    <xf borderId="28" fillId="2" fontId="17" numFmtId="168" xfId="0" applyAlignment="1" applyBorder="1" applyFont="1" applyNumberFormat="1">
      <alignment horizontal="right" vertical="center"/>
    </xf>
    <xf borderId="11" fillId="2" fontId="17" numFmtId="168" xfId="0" applyAlignment="1" applyBorder="1" applyFont="1" applyNumberFormat="1">
      <alignment horizontal="right" vertical="center"/>
    </xf>
    <xf borderId="11" fillId="2" fontId="17" numFmtId="3" xfId="0" applyAlignment="1" applyBorder="1" applyFont="1" applyNumberFormat="1">
      <alignment horizontal="right" vertical="center"/>
    </xf>
    <xf borderId="11" fillId="2" fontId="5" numFmtId="168" xfId="0" applyAlignment="1" applyBorder="1" applyFont="1" applyNumberFormat="1">
      <alignment horizontal="right" vertical="center"/>
    </xf>
    <xf borderId="42" fillId="2" fontId="17" numFmtId="168" xfId="0" applyAlignment="1" applyBorder="1" applyFont="1" applyNumberFormat="1">
      <alignment horizontal="right" vertical="center"/>
    </xf>
    <xf borderId="11" fillId="3" fontId="17" numFmtId="165" xfId="0" applyAlignment="1" applyBorder="1" applyFont="1" applyNumberFormat="1">
      <alignment horizontal="right" vertical="center"/>
    </xf>
    <xf borderId="0" fillId="0" fontId="18" numFmtId="0" xfId="0" applyAlignment="1" applyFont="1">
      <alignment horizontal="right" readingOrder="0" shrinkToFit="0" vertical="bottom" wrapText="0"/>
    </xf>
    <xf borderId="0" fillId="0" fontId="4" numFmtId="165" xfId="0" applyFont="1" applyNumberFormat="1"/>
    <xf borderId="0" fillId="0" fontId="5" numFmtId="0" xfId="0" applyFont="1"/>
    <xf borderId="0" fillId="0" fontId="5" numFmtId="166" xfId="0" applyFont="1" applyNumberFormat="1"/>
    <xf borderId="0" fillId="0" fontId="5" numFmtId="4" xfId="0" applyFont="1" applyNumberFormat="1"/>
    <xf borderId="0" fillId="0" fontId="19" numFmtId="4" xfId="0" applyFont="1" applyNumberFormat="1"/>
    <xf borderId="0" fillId="0" fontId="5" numFmtId="3" xfId="0" applyFont="1" applyNumberFormat="1"/>
    <xf borderId="0" fillId="0" fontId="19" numFmtId="0" xfId="0" applyFont="1"/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20" numFmtId="165" xfId="0" applyFont="1" applyNumberFormat="1"/>
    <xf borderId="0" fillId="0" fontId="6" numFmtId="166" xfId="0" applyFont="1" applyNumberFormat="1"/>
    <xf borderId="0" fillId="0" fontId="21" numFmtId="4" xfId="0" applyFont="1" applyNumberFormat="1"/>
    <xf borderId="0" fillId="0" fontId="4" numFmtId="3" xfId="0" applyFont="1" applyNumberFormat="1"/>
    <xf borderId="0" fillId="0" fontId="21" numFmtId="0" xfId="0" applyFont="1"/>
    <xf borderId="0" fillId="0" fontId="6" numFmtId="2" xfId="0" applyFont="1" applyNumberFormat="1"/>
    <xf borderId="0" fillId="0" fontId="4" numFmtId="0" xfId="0" applyFont="1"/>
    <xf borderId="0" fillId="0" fontId="4" numFmtId="4" xfId="0" applyFont="1" applyNumberFormat="1"/>
    <xf borderId="0" fillId="0" fontId="4" numFmtId="4" xfId="0" applyAlignment="1" applyFont="1" applyNumberFormat="1">
      <alignment horizontal="right" readingOrder="0" shrinkToFit="0" vertical="bottom" wrapText="0"/>
    </xf>
    <xf borderId="39" fillId="2" fontId="5" numFmtId="165" xfId="0" applyAlignment="1" applyBorder="1" applyFont="1" applyNumberFormat="1">
      <alignment readingOrder="0"/>
    </xf>
    <xf borderId="0" fillId="0" fontId="4" numFmtId="4" xfId="0" applyAlignment="1" applyFont="1" applyNumberFormat="1">
      <alignment readingOrder="0" shrinkToFit="0" vertical="bottom" wrapText="0"/>
    </xf>
    <xf borderId="23" fillId="0" fontId="4" numFmtId="4" xfId="0" applyAlignment="1" applyBorder="1" applyFont="1" applyNumberFormat="1">
      <alignment horizontal="right" readingOrder="0" shrinkToFit="0" vertical="bottom" wrapText="0"/>
    </xf>
    <xf borderId="49" fillId="0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53" fillId="0" fontId="23" numFmtId="0" xfId="0" applyAlignment="1" applyBorder="1" applyFont="1">
      <alignment horizontal="left" vertical="center"/>
    </xf>
    <xf borderId="62" fillId="0" fontId="23" numFmtId="2" xfId="0" applyAlignment="1" applyBorder="1" applyFont="1" applyNumberFormat="1">
      <alignment horizontal="center"/>
    </xf>
    <xf borderId="0" fillId="0" fontId="14" numFmtId="4" xfId="0" applyAlignment="1" applyFont="1" applyNumberFormat="1">
      <alignment horizontal="right" readingOrder="0" shrinkToFit="0" vertical="bottom" wrapText="0"/>
    </xf>
    <xf borderId="27" fillId="0" fontId="15" numFmtId="4" xfId="0" applyBorder="1" applyFont="1" applyNumberFormat="1"/>
    <xf borderId="54" fillId="13" fontId="14" numFmtId="3" xfId="0" applyAlignment="1" applyBorder="1" applyFont="1" applyNumberFormat="1">
      <alignment readingOrder="0"/>
    </xf>
    <xf borderId="51" fillId="2" fontId="14" numFmtId="168" xfId="0" applyBorder="1" applyFont="1" applyNumberFormat="1"/>
    <xf borderId="55" fillId="2" fontId="15" numFmtId="168" xfId="0" applyBorder="1" applyFont="1" applyNumberFormat="1"/>
    <xf borderId="22" fillId="0" fontId="15" numFmtId="168" xfId="0" applyBorder="1" applyFont="1" applyNumberFormat="1"/>
    <xf borderId="53" fillId="0" fontId="15" numFmtId="9" xfId="0" applyAlignment="1" applyBorder="1" applyFont="1" applyNumberFormat="1">
      <alignment horizontal="center"/>
    </xf>
    <xf borderId="53" fillId="0" fontId="15" numFmtId="168" xfId="0" applyAlignment="1" applyBorder="1" applyFont="1" applyNumberFormat="1">
      <alignment horizontal="right"/>
    </xf>
    <xf borderId="48" fillId="3" fontId="22" numFmtId="165" xfId="0" applyBorder="1" applyFont="1" applyNumberFormat="1"/>
    <xf borderId="0" fillId="0" fontId="24" numFmtId="0" xfId="0" applyFont="1"/>
    <xf borderId="73" fillId="0" fontId="4" numFmtId="4" xfId="0" applyAlignment="1" applyBorder="1" applyFont="1" applyNumberFormat="1">
      <alignment horizontal="right" readingOrder="0" shrinkToFit="0" vertical="bottom" wrapText="0"/>
    </xf>
    <xf borderId="3" fillId="3" fontId="1" numFmtId="0" xfId="0" applyAlignment="1" applyBorder="1" applyFont="1">
      <alignment horizontal="center" readingOrder="0" vertical="center"/>
    </xf>
    <xf borderId="74" fillId="0" fontId="6" numFmtId="0" xfId="0" applyAlignment="1" applyBorder="1" applyFont="1">
      <alignment shrinkToFit="0" vertical="bottom" wrapText="0"/>
    </xf>
    <xf borderId="0" fillId="0" fontId="10" numFmtId="3" xfId="0" applyFont="1" applyNumberFormat="1"/>
    <xf borderId="75" fillId="0" fontId="6" numFmtId="0" xfId="0" applyAlignment="1" applyBorder="1" applyFont="1">
      <alignment shrinkToFit="0" vertical="bottom" wrapText="0"/>
    </xf>
    <xf borderId="0" fillId="0" fontId="10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PROSS%202024_2025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NERO 2024"/>
      <sheetName val="MARZO 2024"/>
      <sheetName val="ABRIL 2024"/>
      <sheetName val="MAYO 2024"/>
      <sheetName val="JUNIO 2024 "/>
      <sheetName val="JULIO 2024"/>
      <sheetName val="SEPTIEMBRE 2024"/>
      <sheetName val="OCTUBRE 2024"/>
      <sheetName val="NOVIEMBRE 2024"/>
      <sheetName val="DICIEMBRE 2024"/>
      <sheetName val="ENERO 2025"/>
      <sheetName val="FEBRERO 2025"/>
      <sheetName val="MARZO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25"/>
    <col customWidth="1" min="2" max="2" width="6.63"/>
    <col customWidth="1" min="3" max="3" width="13.0"/>
    <col customWidth="1" min="4" max="4" width="7.25"/>
    <col customWidth="1" min="5" max="5" width="11.75"/>
    <col customWidth="1" min="6" max="6" width="11.0"/>
    <col customWidth="1" min="7" max="7" width="6.88"/>
    <col customWidth="1" min="8" max="8" width="10.0"/>
    <col customWidth="1" min="9" max="9" width="9.63"/>
    <col customWidth="1" min="10" max="10" width="10.63"/>
    <col customWidth="1" min="11" max="11" width="6.5"/>
    <col customWidth="1" min="12" max="12" width="10.5"/>
    <col customWidth="1" min="13" max="13" width="10.63"/>
    <col customWidth="1" min="14" max="14" width="7.5"/>
    <col customWidth="1" min="15" max="15" width="10.13"/>
    <col customWidth="1" min="16" max="16" width="10.25"/>
    <col customWidth="1" min="18" max="18" width="5.75"/>
    <col customWidth="1" min="19" max="19" width="13.63"/>
    <col customWidth="1" min="20" max="20" width="12.88"/>
    <col customWidth="1" min="21" max="21" width="13.5"/>
    <col customWidth="1" min="22" max="22" width="11.75"/>
    <col customWidth="1" min="23" max="33" width="10.0"/>
  </cols>
  <sheetData>
    <row r="1" ht="15.75" customHeight="1">
      <c r="A1" s="1" t="s">
        <v>0</v>
      </c>
      <c r="B1" s="1"/>
      <c r="C1" s="1"/>
      <c r="D1" s="1"/>
      <c r="E1" s="2"/>
      <c r="F1" s="2"/>
      <c r="G1" s="3"/>
      <c r="H1" s="1"/>
      <c r="I1" s="1"/>
      <c r="J1" s="1"/>
      <c r="K1" s="3"/>
      <c r="L1" s="1"/>
      <c r="M1" s="1"/>
      <c r="N1" s="3"/>
      <c r="O1" s="1"/>
      <c r="P1" s="1"/>
      <c r="Q1" s="1"/>
      <c r="R1" s="1"/>
      <c r="S1" s="4"/>
      <c r="T1" s="5">
        <v>46023.0</v>
      </c>
    </row>
    <row r="2" ht="27.0" customHeight="1">
      <c r="A2" s="6"/>
      <c r="B2" s="7"/>
      <c r="C2" s="8"/>
      <c r="D2" s="7"/>
      <c r="E2" s="9" t="s">
        <v>1</v>
      </c>
      <c r="F2" s="10"/>
      <c r="G2" s="11" t="s">
        <v>2</v>
      </c>
      <c r="H2" s="12"/>
      <c r="I2" s="12"/>
      <c r="J2" s="10"/>
      <c r="K2" s="13" t="s">
        <v>3</v>
      </c>
      <c r="L2" s="12"/>
      <c r="M2" s="10"/>
      <c r="N2" s="14" t="s">
        <v>4</v>
      </c>
      <c r="O2" s="12"/>
      <c r="P2" s="10"/>
      <c r="Q2" s="8" t="s">
        <v>5</v>
      </c>
      <c r="R2" s="15" t="s">
        <v>6</v>
      </c>
      <c r="S2" s="16" t="s">
        <v>7</v>
      </c>
      <c r="T2" s="17" t="s">
        <v>8</v>
      </c>
    </row>
    <row r="3" ht="30.75" customHeight="1">
      <c r="A3" s="18" t="s">
        <v>9</v>
      </c>
      <c r="B3" s="19" t="s">
        <v>10</v>
      </c>
      <c r="C3" s="20" t="s">
        <v>11</v>
      </c>
      <c r="D3" s="20" t="s">
        <v>12</v>
      </c>
      <c r="E3" s="21" t="s">
        <v>13</v>
      </c>
      <c r="F3" s="22" t="s">
        <v>14</v>
      </c>
      <c r="G3" s="23" t="s">
        <v>15</v>
      </c>
      <c r="H3" s="24">
        <v>12000.0</v>
      </c>
      <c r="I3" s="25">
        <v>0.96</v>
      </c>
      <c r="J3" s="26" t="s">
        <v>14</v>
      </c>
      <c r="K3" s="27" t="s">
        <v>15</v>
      </c>
      <c r="L3" s="28">
        <v>14606.0</v>
      </c>
      <c r="M3" s="29" t="s">
        <v>14</v>
      </c>
      <c r="N3" s="30" t="s">
        <v>15</v>
      </c>
      <c r="O3" s="31">
        <v>17300.0</v>
      </c>
      <c r="P3" s="32" t="s">
        <v>14</v>
      </c>
      <c r="Q3" s="33" t="s">
        <v>14</v>
      </c>
      <c r="R3" s="34" t="s">
        <v>16</v>
      </c>
      <c r="S3" s="35" t="s">
        <v>17</v>
      </c>
      <c r="T3" s="36" t="s">
        <v>18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ht="13.5" customHeight="1">
      <c r="A4" s="38" t="s">
        <v>19</v>
      </c>
      <c r="B4" s="39">
        <v>10709.0</v>
      </c>
      <c r="C4" s="40" t="s">
        <v>20</v>
      </c>
      <c r="D4" s="41">
        <v>0.35</v>
      </c>
      <c r="E4" s="42">
        <v>0.0</v>
      </c>
      <c r="F4" s="43">
        <f t="shared" ref="F4:F5" si="1">E4*D4</f>
        <v>0</v>
      </c>
      <c r="G4" s="44">
        <v>0.0</v>
      </c>
      <c r="H4" s="45">
        <f t="shared" ref="H4:H5" si="2">G4*$H$3</f>
        <v>0</v>
      </c>
      <c r="I4" s="45">
        <f t="shared" ref="I4:I5" si="3">H4*$I$3</f>
        <v>0</v>
      </c>
      <c r="J4" s="46">
        <f t="shared" ref="J4:J5" si="4">I4*D4</f>
        <v>0</v>
      </c>
      <c r="K4" s="47">
        <v>0.0</v>
      </c>
      <c r="L4" s="45">
        <f>K4*$L$3</f>
        <v>0</v>
      </c>
      <c r="M4" s="48">
        <f>L4*$D$4</f>
        <v>0</v>
      </c>
      <c r="N4" s="47">
        <v>0.0</v>
      </c>
      <c r="O4" s="45">
        <f>N4*$O$3</f>
        <v>0</v>
      </c>
      <c r="P4" s="49">
        <f>O4*D4</f>
        <v>0</v>
      </c>
      <c r="Q4" s="50">
        <f t="shared" ref="Q4:Q5" si="5">F4+J4+M4+P4</f>
        <v>0</v>
      </c>
      <c r="R4" s="51"/>
      <c r="S4" s="52"/>
      <c r="T4" s="53">
        <f t="shared" ref="T4:T5" si="6">Q4</f>
        <v>0</v>
      </c>
    </row>
    <row r="5" ht="12.0" customHeight="1">
      <c r="A5" s="54" t="s">
        <v>21</v>
      </c>
      <c r="B5" s="55">
        <v>19641.0</v>
      </c>
      <c r="C5" s="56" t="s">
        <v>22</v>
      </c>
      <c r="D5" s="57">
        <v>0.35</v>
      </c>
      <c r="E5" s="58">
        <v>203800.0</v>
      </c>
      <c r="F5" s="59">
        <f t="shared" si="1"/>
        <v>71330</v>
      </c>
      <c r="G5" s="60">
        <v>20.0</v>
      </c>
      <c r="H5" s="61">
        <f t="shared" si="2"/>
        <v>240000</v>
      </c>
      <c r="I5" s="61">
        <f t="shared" si="3"/>
        <v>230400</v>
      </c>
      <c r="J5" s="62">
        <f t="shared" si="4"/>
        <v>80640</v>
      </c>
      <c r="K5" s="63"/>
      <c r="L5" s="64"/>
      <c r="M5" s="65"/>
      <c r="N5" s="63"/>
      <c r="O5" s="64"/>
      <c r="P5" s="65"/>
      <c r="Q5" s="50">
        <f t="shared" si="5"/>
        <v>151970</v>
      </c>
      <c r="R5" s="66"/>
      <c r="S5" s="67">
        <f>SUM(Q4:Q5)</f>
        <v>151970</v>
      </c>
      <c r="T5" s="68">
        <f t="shared" si="6"/>
        <v>151970</v>
      </c>
    </row>
    <row r="6" ht="13.5" customHeight="1">
      <c r="A6" s="69" t="s">
        <v>23</v>
      </c>
      <c r="B6" s="70">
        <v>28692.0</v>
      </c>
      <c r="C6" s="71" t="s">
        <v>24</v>
      </c>
      <c r="D6" s="72"/>
      <c r="E6" s="73"/>
      <c r="F6" s="73"/>
      <c r="G6" s="74"/>
      <c r="H6" s="75"/>
      <c r="I6" s="75"/>
      <c r="J6" s="76"/>
      <c r="K6" s="77"/>
      <c r="L6" s="75"/>
      <c r="M6" s="78"/>
      <c r="N6" s="77"/>
      <c r="O6" s="75"/>
      <c r="P6" s="78"/>
      <c r="Q6" s="79" t="str">
        <f>E6</f>
        <v/>
      </c>
      <c r="R6" s="80"/>
      <c r="S6" s="81"/>
      <c r="T6" s="82"/>
      <c r="U6" s="83" t="s">
        <v>25</v>
      </c>
    </row>
    <row r="7" ht="14.25" customHeight="1">
      <c r="A7" s="84" t="s">
        <v>26</v>
      </c>
      <c r="B7" s="85" t="s">
        <v>27</v>
      </c>
      <c r="C7" s="86" t="s">
        <v>28</v>
      </c>
      <c r="D7" s="87">
        <v>0.23</v>
      </c>
      <c r="E7" s="88">
        <v>259000.0</v>
      </c>
      <c r="F7" s="89">
        <f t="shared" ref="F7:F30" si="7">E7*D7</f>
        <v>59570</v>
      </c>
      <c r="G7" s="90"/>
      <c r="H7" s="91"/>
      <c r="I7" s="91"/>
      <c r="J7" s="92"/>
      <c r="K7" s="93"/>
      <c r="L7" s="94"/>
      <c r="M7" s="95"/>
      <c r="N7" s="93"/>
      <c r="O7" s="94"/>
      <c r="P7" s="95"/>
      <c r="Q7" s="50">
        <f t="shared" ref="Q7:Q25" si="8">F7+J7+M7+P7</f>
        <v>59570</v>
      </c>
      <c r="R7" s="96"/>
      <c r="S7" s="67">
        <f>SUM(Q7)</f>
        <v>59570</v>
      </c>
      <c r="T7" s="97">
        <f>Q7</f>
        <v>59570</v>
      </c>
    </row>
    <row r="8" ht="13.5" customHeight="1">
      <c r="A8" s="38" t="s">
        <v>29</v>
      </c>
      <c r="B8" s="39">
        <v>18345.0</v>
      </c>
      <c r="C8" s="40" t="s">
        <v>30</v>
      </c>
      <c r="D8" s="98">
        <v>0.3</v>
      </c>
      <c r="E8" s="99">
        <v>144200.0</v>
      </c>
      <c r="F8" s="48">
        <f t="shared" si="7"/>
        <v>43260</v>
      </c>
      <c r="G8" s="44">
        <v>17.0</v>
      </c>
      <c r="H8" s="45">
        <f t="shared" ref="H8:H9" si="9">G8*$H$3</f>
        <v>204000</v>
      </c>
      <c r="I8" s="45">
        <f t="shared" ref="I8:I9" si="10">H8*$I$3</f>
        <v>195840</v>
      </c>
      <c r="J8" s="46">
        <f>D8*E8</f>
        <v>43260</v>
      </c>
      <c r="K8" s="47">
        <v>0.0</v>
      </c>
      <c r="L8" s="45">
        <f t="shared" ref="L8:L9" si="11">K8*$L$3</f>
        <v>0</v>
      </c>
      <c r="M8" s="49">
        <f>L8*E8</f>
        <v>0</v>
      </c>
      <c r="N8" s="47">
        <v>0.0</v>
      </c>
      <c r="O8" s="45">
        <f>N8*$O$3</f>
        <v>0</v>
      </c>
      <c r="P8" s="49">
        <f>O8*E8</f>
        <v>0</v>
      </c>
      <c r="Q8" s="50">
        <f t="shared" si="8"/>
        <v>86520</v>
      </c>
      <c r="R8" s="100">
        <v>0.4</v>
      </c>
      <c r="S8" s="101"/>
      <c r="T8" s="102">
        <f t="shared" ref="T8:T10" si="12">$S$11*R8</f>
        <v>125194.8</v>
      </c>
    </row>
    <row r="9" ht="13.5" customHeight="1">
      <c r="A9" s="103" t="s">
        <v>29</v>
      </c>
      <c r="B9" s="104">
        <v>24425.0</v>
      </c>
      <c r="C9" s="105" t="s">
        <v>31</v>
      </c>
      <c r="D9" s="98">
        <v>0.3</v>
      </c>
      <c r="E9" s="88">
        <v>167000.0</v>
      </c>
      <c r="F9" s="48">
        <f t="shared" si="7"/>
        <v>50100</v>
      </c>
      <c r="G9" s="106">
        <v>6.0</v>
      </c>
      <c r="H9" s="107">
        <f t="shared" si="9"/>
        <v>72000</v>
      </c>
      <c r="I9" s="107">
        <f t="shared" si="10"/>
        <v>69120</v>
      </c>
      <c r="J9" s="48">
        <f>I9*D9</f>
        <v>20736</v>
      </c>
      <c r="K9" s="108">
        <v>1.0</v>
      </c>
      <c r="L9" s="107">
        <f t="shared" si="11"/>
        <v>14606</v>
      </c>
      <c r="M9" s="48">
        <f>L9*D9</f>
        <v>4381.8</v>
      </c>
      <c r="N9" s="109"/>
      <c r="O9" s="110"/>
      <c r="P9" s="111"/>
      <c r="Q9" s="50">
        <f t="shared" si="8"/>
        <v>75217.8</v>
      </c>
      <c r="R9" s="112">
        <v>0.37</v>
      </c>
      <c r="S9" s="101"/>
      <c r="T9" s="102">
        <f t="shared" si="12"/>
        <v>115805.19</v>
      </c>
    </row>
    <row r="10" ht="13.5" customHeight="1">
      <c r="A10" s="103" t="s">
        <v>32</v>
      </c>
      <c r="B10" s="104">
        <v>33008.0</v>
      </c>
      <c r="C10" s="105" t="s">
        <v>33</v>
      </c>
      <c r="D10" s="98">
        <v>0.3</v>
      </c>
      <c r="E10" s="88">
        <v>263500.0</v>
      </c>
      <c r="F10" s="48">
        <f t="shared" si="7"/>
        <v>79050</v>
      </c>
      <c r="G10" s="113"/>
      <c r="H10" s="110"/>
      <c r="I10" s="110"/>
      <c r="J10" s="114"/>
      <c r="K10" s="109"/>
      <c r="L10" s="110"/>
      <c r="M10" s="111"/>
      <c r="N10" s="109"/>
      <c r="O10" s="110"/>
      <c r="P10" s="111"/>
      <c r="Q10" s="50">
        <f t="shared" si="8"/>
        <v>79050</v>
      </c>
      <c r="R10" s="112">
        <v>0.23</v>
      </c>
      <c r="S10" s="101"/>
      <c r="T10" s="102">
        <f t="shared" si="12"/>
        <v>71987.01</v>
      </c>
    </row>
    <row r="11" ht="13.5" customHeight="1">
      <c r="A11" s="103" t="s">
        <v>32</v>
      </c>
      <c r="B11" s="115">
        <v>6666.0</v>
      </c>
      <c r="C11" s="116" t="s">
        <v>34</v>
      </c>
      <c r="D11" s="117">
        <v>0.3</v>
      </c>
      <c r="E11" s="118">
        <v>44000.0</v>
      </c>
      <c r="F11" s="119">
        <f t="shared" si="7"/>
        <v>13200</v>
      </c>
      <c r="G11" s="120">
        <v>12.0</v>
      </c>
      <c r="H11" s="121">
        <f t="shared" ref="H11:H14" si="13">G11*$H$3</f>
        <v>144000</v>
      </c>
      <c r="I11" s="121">
        <f t="shared" ref="I11:I14" si="14">H11*$I$3</f>
        <v>138240</v>
      </c>
      <c r="J11" s="122">
        <f t="shared" ref="J11:J14" si="15">I11*D11</f>
        <v>41472</v>
      </c>
      <c r="K11" s="120">
        <v>4.0</v>
      </c>
      <c r="L11" s="121">
        <f>K11*$L$3</f>
        <v>58424</v>
      </c>
      <c r="M11" s="122">
        <f>L11*D11</f>
        <v>17527.2</v>
      </c>
      <c r="N11" s="123"/>
      <c r="O11" s="121">
        <f>N11*$O$3</f>
        <v>0</v>
      </c>
      <c r="P11" s="122">
        <f>O11*$D11</f>
        <v>0</v>
      </c>
      <c r="Q11" s="50">
        <f t="shared" si="8"/>
        <v>72199.2</v>
      </c>
      <c r="R11" s="66"/>
      <c r="S11" s="67">
        <f>SUM(Q8:Q11)</f>
        <v>312987</v>
      </c>
      <c r="T11" s="82"/>
      <c r="U11" s="124" t="s">
        <v>35</v>
      </c>
    </row>
    <row r="12" ht="13.5" customHeight="1">
      <c r="A12" s="38" t="s">
        <v>36</v>
      </c>
      <c r="B12" s="39">
        <v>19788.0</v>
      </c>
      <c r="C12" s="125" t="s">
        <v>37</v>
      </c>
      <c r="D12" s="126">
        <v>0.2</v>
      </c>
      <c r="E12" s="99">
        <v>610710.0</v>
      </c>
      <c r="F12" s="46">
        <f t="shared" si="7"/>
        <v>122142</v>
      </c>
      <c r="G12" s="44">
        <v>77.0</v>
      </c>
      <c r="H12" s="45">
        <f t="shared" si="13"/>
        <v>924000</v>
      </c>
      <c r="I12" s="45">
        <f t="shared" si="14"/>
        <v>887040</v>
      </c>
      <c r="J12" s="46">
        <f t="shared" si="15"/>
        <v>177408</v>
      </c>
      <c r="K12" s="127"/>
      <c r="L12" s="128"/>
      <c r="M12" s="129"/>
      <c r="N12" s="127"/>
      <c r="O12" s="128"/>
      <c r="P12" s="129"/>
      <c r="Q12" s="50">
        <f t="shared" si="8"/>
        <v>299550</v>
      </c>
      <c r="R12" s="100"/>
      <c r="S12" s="130"/>
      <c r="T12" s="53">
        <f t="shared" ref="T12:T13" si="16">Q12</f>
        <v>299550</v>
      </c>
    </row>
    <row r="13" ht="13.5" customHeight="1">
      <c r="A13" s="103" t="s">
        <v>38</v>
      </c>
      <c r="B13" s="104">
        <v>19541.0</v>
      </c>
      <c r="C13" s="105" t="s">
        <v>39</v>
      </c>
      <c r="D13" s="131">
        <v>0.2</v>
      </c>
      <c r="E13" s="88">
        <v>208500.0</v>
      </c>
      <c r="F13" s="48">
        <f t="shared" si="7"/>
        <v>41700</v>
      </c>
      <c r="G13" s="106">
        <v>26.0</v>
      </c>
      <c r="H13" s="107">
        <f t="shared" si="13"/>
        <v>312000</v>
      </c>
      <c r="I13" s="107">
        <f t="shared" si="14"/>
        <v>299520</v>
      </c>
      <c r="J13" s="48">
        <f t="shared" si="15"/>
        <v>59904</v>
      </c>
      <c r="K13" s="109"/>
      <c r="L13" s="110"/>
      <c r="M13" s="111"/>
      <c r="N13" s="63"/>
      <c r="O13" s="64"/>
      <c r="P13" s="65"/>
      <c r="Q13" s="50">
        <f t="shared" si="8"/>
        <v>101604</v>
      </c>
      <c r="R13" s="112"/>
      <c r="S13" s="67">
        <f>SUM(Q12:Q13)</f>
        <v>401154</v>
      </c>
      <c r="T13" s="102">
        <f t="shared" si="16"/>
        <v>101604</v>
      </c>
    </row>
    <row r="14" ht="16.5" customHeight="1">
      <c r="A14" s="132" t="s">
        <v>40</v>
      </c>
      <c r="B14" s="133">
        <v>23188.0</v>
      </c>
      <c r="C14" s="40" t="s">
        <v>41</v>
      </c>
      <c r="D14" s="134">
        <v>0.35</v>
      </c>
      <c r="E14" s="99"/>
      <c r="F14" s="46">
        <f t="shared" si="7"/>
        <v>0</v>
      </c>
      <c r="G14" s="44">
        <v>12.0</v>
      </c>
      <c r="H14" s="45">
        <f t="shared" si="13"/>
        <v>144000</v>
      </c>
      <c r="I14" s="45">
        <f t="shared" si="14"/>
        <v>138240</v>
      </c>
      <c r="J14" s="46">
        <f t="shared" si="15"/>
        <v>48384</v>
      </c>
      <c r="K14" s="127"/>
      <c r="L14" s="128"/>
      <c r="M14" s="129"/>
      <c r="N14" s="108">
        <v>2.0</v>
      </c>
      <c r="O14" s="107">
        <f>N14*$O$3</f>
        <v>34600</v>
      </c>
      <c r="P14" s="48">
        <f>O14*$D14</f>
        <v>12110</v>
      </c>
      <c r="Q14" s="50">
        <f t="shared" si="8"/>
        <v>60494</v>
      </c>
      <c r="R14" s="135"/>
      <c r="S14" s="136"/>
      <c r="T14" s="137">
        <f>S15</f>
        <v>103194</v>
      </c>
    </row>
    <row r="15" ht="13.5" customHeight="1">
      <c r="A15" s="103" t="s">
        <v>42</v>
      </c>
      <c r="B15" s="115">
        <v>39206.0</v>
      </c>
      <c r="C15" s="116" t="s">
        <v>43</v>
      </c>
      <c r="D15" s="117">
        <v>0.35</v>
      </c>
      <c r="E15" s="118">
        <v>122000.0</v>
      </c>
      <c r="F15" s="119">
        <f t="shared" si="7"/>
        <v>42700</v>
      </c>
      <c r="G15" s="123"/>
      <c r="H15" s="123"/>
      <c r="I15" s="121"/>
      <c r="J15" s="122"/>
      <c r="K15" s="123"/>
      <c r="L15" s="121"/>
      <c r="M15" s="122"/>
      <c r="N15" s="138"/>
      <c r="O15" s="139"/>
      <c r="P15" s="140"/>
      <c r="Q15" s="122">
        <f t="shared" si="8"/>
        <v>42700</v>
      </c>
      <c r="R15" s="66"/>
      <c r="S15" s="67">
        <f>SUM(Q14+Q15)</f>
        <v>103194</v>
      </c>
      <c r="T15" s="82"/>
      <c r="U15" s="124" t="s">
        <v>44</v>
      </c>
    </row>
    <row r="16" ht="13.5" customHeight="1">
      <c r="A16" s="38" t="s">
        <v>45</v>
      </c>
      <c r="B16" s="39">
        <v>27377.0</v>
      </c>
      <c r="C16" s="40" t="s">
        <v>46</v>
      </c>
      <c r="D16" s="41">
        <v>0.35</v>
      </c>
      <c r="E16" s="99">
        <v>68000.0</v>
      </c>
      <c r="F16" s="46">
        <f t="shared" si="7"/>
        <v>23800</v>
      </c>
      <c r="G16" s="141"/>
      <c r="H16" s="128"/>
      <c r="I16" s="128"/>
      <c r="J16" s="142"/>
      <c r="K16" s="127"/>
      <c r="L16" s="128"/>
      <c r="M16" s="129"/>
      <c r="N16" s="108">
        <v>0.0</v>
      </c>
      <c r="O16" s="107">
        <f t="shared" ref="O16:O17" si="17">N16*$O$3</f>
        <v>0</v>
      </c>
      <c r="P16" s="48">
        <f t="shared" ref="P16:P17" si="18">O16*$D16</f>
        <v>0</v>
      </c>
      <c r="Q16" s="50">
        <f t="shared" si="8"/>
        <v>23800</v>
      </c>
      <c r="R16" s="100"/>
      <c r="S16" s="143"/>
      <c r="T16" s="53">
        <f t="shared" ref="T16:T21" si="19">Q16</f>
        <v>23800</v>
      </c>
    </row>
    <row r="17" ht="13.5" customHeight="1">
      <c r="A17" s="54" t="s">
        <v>47</v>
      </c>
      <c r="B17" s="55">
        <v>26059.0</v>
      </c>
      <c r="C17" s="56" t="s">
        <v>48</v>
      </c>
      <c r="D17" s="57">
        <v>0.35</v>
      </c>
      <c r="E17" s="88">
        <v>108000.0</v>
      </c>
      <c r="F17" s="59">
        <f t="shared" si="7"/>
        <v>37800</v>
      </c>
      <c r="G17" s="60">
        <v>10.0</v>
      </c>
      <c r="H17" s="107">
        <f>G17*$H$3</f>
        <v>120000</v>
      </c>
      <c r="I17" s="61">
        <f>H17*$I$3</f>
        <v>115200</v>
      </c>
      <c r="J17" s="62">
        <f>I17*D17</f>
        <v>40320</v>
      </c>
      <c r="K17" s="63"/>
      <c r="L17" s="64"/>
      <c r="M17" s="65"/>
      <c r="N17" s="108">
        <v>7.0</v>
      </c>
      <c r="O17" s="107">
        <f t="shared" si="17"/>
        <v>121100</v>
      </c>
      <c r="P17" s="48">
        <f t="shared" si="18"/>
        <v>42385</v>
      </c>
      <c r="Q17" s="50">
        <f t="shared" si="8"/>
        <v>120505</v>
      </c>
      <c r="R17" s="66"/>
      <c r="S17" s="67">
        <f>SUM(Q16+Q17)</f>
        <v>144305</v>
      </c>
      <c r="T17" s="68">
        <f t="shared" si="19"/>
        <v>120505</v>
      </c>
    </row>
    <row r="18" ht="18.0" customHeight="1">
      <c r="A18" s="84" t="s">
        <v>49</v>
      </c>
      <c r="B18" s="144">
        <v>40498.0</v>
      </c>
      <c r="C18" s="145" t="s">
        <v>50</v>
      </c>
      <c r="D18" s="146">
        <v>0.35</v>
      </c>
      <c r="E18" s="147"/>
      <c r="F18" s="89">
        <f t="shared" si="7"/>
        <v>0</v>
      </c>
      <c r="G18" s="148"/>
      <c r="H18" s="94"/>
      <c r="I18" s="94"/>
      <c r="J18" s="149"/>
      <c r="K18" s="63"/>
      <c r="L18" s="64"/>
      <c r="M18" s="65"/>
      <c r="N18" s="63"/>
      <c r="O18" s="64"/>
      <c r="P18" s="65"/>
      <c r="Q18" s="50">
        <f t="shared" si="8"/>
        <v>0</v>
      </c>
      <c r="R18" s="150"/>
      <c r="S18" s="151">
        <f>Q18</f>
        <v>0</v>
      </c>
      <c r="T18" s="97">
        <f t="shared" si="19"/>
        <v>0</v>
      </c>
    </row>
    <row r="19" ht="13.5" customHeight="1">
      <c r="A19" s="38" t="s">
        <v>51</v>
      </c>
      <c r="B19" s="39">
        <v>36854.0</v>
      </c>
      <c r="C19" s="40" t="s">
        <v>52</v>
      </c>
      <c r="D19" s="134">
        <v>0.35</v>
      </c>
      <c r="E19" s="147"/>
      <c r="F19" s="43">
        <f t="shared" si="7"/>
        <v>0</v>
      </c>
      <c r="G19" s="141"/>
      <c r="H19" s="128"/>
      <c r="I19" s="128"/>
      <c r="J19" s="142"/>
      <c r="K19" s="127"/>
      <c r="L19" s="128"/>
      <c r="M19" s="129"/>
      <c r="N19" s="127"/>
      <c r="O19" s="128"/>
      <c r="P19" s="129"/>
      <c r="Q19" s="50">
        <f t="shared" si="8"/>
        <v>0</v>
      </c>
      <c r="R19" s="51"/>
      <c r="S19" s="52"/>
      <c r="T19" s="53">
        <f t="shared" si="19"/>
        <v>0</v>
      </c>
    </row>
    <row r="20" ht="13.5" customHeight="1">
      <c r="A20" s="103" t="s">
        <v>53</v>
      </c>
      <c r="B20" s="55">
        <v>17696.0</v>
      </c>
      <c r="C20" s="56" t="s">
        <v>54</v>
      </c>
      <c r="D20" s="117">
        <v>0.35</v>
      </c>
      <c r="E20" s="88">
        <v>20000.0</v>
      </c>
      <c r="F20" s="59">
        <f t="shared" si="7"/>
        <v>7000</v>
      </c>
      <c r="G20" s="152"/>
      <c r="H20" s="64"/>
      <c r="I20" s="64"/>
      <c r="J20" s="153"/>
      <c r="K20" s="63"/>
      <c r="L20" s="64"/>
      <c r="M20" s="65"/>
      <c r="N20" s="108">
        <v>0.0</v>
      </c>
      <c r="O20" s="107">
        <f>N20*$O$3</f>
        <v>0</v>
      </c>
      <c r="P20" s="48">
        <f>O20*$D20</f>
        <v>0</v>
      </c>
      <c r="Q20" s="50">
        <f t="shared" si="8"/>
        <v>7000</v>
      </c>
      <c r="R20" s="66"/>
      <c r="S20" s="67">
        <f>SUM(Q19+Q20)</f>
        <v>7000</v>
      </c>
      <c r="T20" s="68">
        <f t="shared" si="19"/>
        <v>7000</v>
      </c>
    </row>
    <row r="21" ht="13.5" customHeight="1">
      <c r="A21" s="38" t="s">
        <v>55</v>
      </c>
      <c r="B21" s="39">
        <v>17704.0</v>
      </c>
      <c r="C21" s="40" t="s">
        <v>56</v>
      </c>
      <c r="D21" s="134">
        <v>0.35</v>
      </c>
      <c r="E21" s="147"/>
      <c r="F21" s="43">
        <f t="shared" si="7"/>
        <v>0</v>
      </c>
      <c r="G21" s="141"/>
      <c r="H21" s="128"/>
      <c r="I21" s="128"/>
      <c r="J21" s="142"/>
      <c r="K21" s="127"/>
      <c r="L21" s="128"/>
      <c r="M21" s="129"/>
      <c r="N21" s="127"/>
      <c r="O21" s="128"/>
      <c r="P21" s="129"/>
      <c r="Q21" s="50">
        <f t="shared" si="8"/>
        <v>0</v>
      </c>
      <c r="R21" s="51"/>
      <c r="S21" s="52"/>
      <c r="T21" s="53">
        <f t="shared" si="19"/>
        <v>0</v>
      </c>
    </row>
    <row r="22" ht="13.5" customHeight="1">
      <c r="A22" s="103" t="s">
        <v>55</v>
      </c>
      <c r="B22" s="154">
        <v>37080.0</v>
      </c>
      <c r="C22" s="155" t="s">
        <v>57</v>
      </c>
      <c r="D22" s="156">
        <v>0.35</v>
      </c>
      <c r="E22" s="157"/>
      <c r="F22" s="158">
        <f t="shared" si="7"/>
        <v>0</v>
      </c>
      <c r="G22" s="113"/>
      <c r="H22" s="110"/>
      <c r="I22" s="110"/>
      <c r="J22" s="114"/>
      <c r="K22" s="109"/>
      <c r="L22" s="110"/>
      <c r="M22" s="111"/>
      <c r="N22" s="109"/>
      <c r="O22" s="110"/>
      <c r="P22" s="111"/>
      <c r="Q22" s="50">
        <f t="shared" si="8"/>
        <v>0</v>
      </c>
      <c r="R22" s="159">
        <v>0.5</v>
      </c>
      <c r="S22" s="160"/>
      <c r="T22" s="102">
        <f>Q23*R22</f>
        <v>23576</v>
      </c>
    </row>
    <row r="23" ht="13.5" customHeight="1">
      <c r="A23" s="103" t="s">
        <v>58</v>
      </c>
      <c r="B23" s="55">
        <v>31450.0</v>
      </c>
      <c r="C23" s="56" t="s">
        <v>59</v>
      </c>
      <c r="D23" s="57">
        <v>0.35</v>
      </c>
      <c r="E23" s="88">
        <v>54000.0</v>
      </c>
      <c r="F23" s="59">
        <f t="shared" si="7"/>
        <v>18900</v>
      </c>
      <c r="G23" s="60">
        <v>1.0</v>
      </c>
      <c r="H23" s="107">
        <f>G23*$H$3</f>
        <v>12000</v>
      </c>
      <c r="I23" s="61">
        <f>H23*$I$3</f>
        <v>11520</v>
      </c>
      <c r="J23" s="62">
        <f>I23*D23</f>
        <v>4032</v>
      </c>
      <c r="K23" s="63"/>
      <c r="L23" s="64"/>
      <c r="M23" s="65"/>
      <c r="N23" s="108">
        <v>4.0</v>
      </c>
      <c r="O23" s="107">
        <f>N23*$O$3</f>
        <v>69200</v>
      </c>
      <c r="P23" s="48">
        <f>O23*$D23</f>
        <v>24220</v>
      </c>
      <c r="Q23" s="50">
        <f t="shared" si="8"/>
        <v>47152</v>
      </c>
      <c r="R23" s="66">
        <v>0.5</v>
      </c>
      <c r="S23" s="67">
        <f>SUM(Q21:Q23)</f>
        <v>47152</v>
      </c>
      <c r="T23" s="68">
        <f>Q23*R23</f>
        <v>23576</v>
      </c>
    </row>
    <row r="24" ht="15.75" customHeight="1">
      <c r="A24" s="38" t="s">
        <v>60</v>
      </c>
      <c r="B24" s="39">
        <v>32233.0</v>
      </c>
      <c r="C24" s="40" t="s">
        <v>61</v>
      </c>
      <c r="D24" s="134">
        <v>0.35</v>
      </c>
      <c r="E24" s="147"/>
      <c r="F24" s="46">
        <f t="shared" si="7"/>
        <v>0</v>
      </c>
      <c r="G24" s="141"/>
      <c r="H24" s="128"/>
      <c r="I24" s="128"/>
      <c r="J24" s="142"/>
      <c r="K24" s="127"/>
      <c r="L24" s="128"/>
      <c r="M24" s="129"/>
      <c r="N24" s="127"/>
      <c r="O24" s="128"/>
      <c r="P24" s="129"/>
      <c r="Q24" s="50">
        <f t="shared" si="8"/>
        <v>0</v>
      </c>
      <c r="R24" s="161"/>
      <c r="S24" s="130"/>
      <c r="T24" s="137">
        <f t="shared" ref="T24:T25" si="20">Q24</f>
        <v>0</v>
      </c>
    </row>
    <row r="25" ht="15.75" customHeight="1">
      <c r="A25" s="103" t="s">
        <v>62</v>
      </c>
      <c r="B25" s="55">
        <v>27950.0</v>
      </c>
      <c r="C25" s="56" t="s">
        <v>63</v>
      </c>
      <c r="D25" s="117">
        <v>0.35</v>
      </c>
      <c r="E25" s="162"/>
      <c r="F25" s="62">
        <f t="shared" si="7"/>
        <v>0</v>
      </c>
      <c r="G25" s="152"/>
      <c r="H25" s="64"/>
      <c r="I25" s="64"/>
      <c r="J25" s="153"/>
      <c r="K25" s="63"/>
      <c r="L25" s="64"/>
      <c r="M25" s="65"/>
      <c r="N25" s="63"/>
      <c r="O25" s="64"/>
      <c r="P25" s="65"/>
      <c r="Q25" s="50">
        <f t="shared" si="8"/>
        <v>0</v>
      </c>
      <c r="R25" s="163"/>
      <c r="S25" s="67">
        <f>SUM(Q24+Q25)</f>
        <v>0</v>
      </c>
      <c r="T25" s="137">
        <f t="shared" si="20"/>
        <v>0</v>
      </c>
    </row>
    <row r="26" ht="13.5" customHeight="1">
      <c r="A26" s="38" t="s">
        <v>64</v>
      </c>
      <c r="B26" s="164" t="s">
        <v>65</v>
      </c>
      <c r="C26" s="165" t="s">
        <v>66</v>
      </c>
      <c r="D26" s="166">
        <v>0.3</v>
      </c>
      <c r="E26" s="167">
        <f>166902.68+549400</f>
        <v>716302.68</v>
      </c>
      <c r="F26" s="168">
        <f t="shared" si="7"/>
        <v>214890.804</v>
      </c>
      <c r="G26" s="141"/>
      <c r="H26" s="128"/>
      <c r="I26" s="128"/>
      <c r="J26" s="142"/>
      <c r="K26" s="127"/>
      <c r="L26" s="128"/>
      <c r="M26" s="129"/>
      <c r="N26" s="127"/>
      <c r="O26" s="128"/>
      <c r="P26" s="129"/>
      <c r="Q26" s="169"/>
      <c r="R26" s="169"/>
      <c r="S26" s="169"/>
      <c r="T26" s="170"/>
    </row>
    <row r="27" ht="13.5" customHeight="1">
      <c r="A27" s="103" t="s">
        <v>64</v>
      </c>
      <c r="B27" s="115" t="s">
        <v>65</v>
      </c>
      <c r="C27" s="116" t="s">
        <v>67</v>
      </c>
      <c r="D27" s="166">
        <v>0.3</v>
      </c>
      <c r="E27" s="171">
        <f>3600+46800</f>
        <v>50400</v>
      </c>
      <c r="F27" s="172">
        <f t="shared" si="7"/>
        <v>15120</v>
      </c>
      <c r="G27" s="113"/>
      <c r="H27" s="110"/>
      <c r="I27" s="110"/>
      <c r="J27" s="114"/>
      <c r="K27" s="109"/>
      <c r="L27" s="110"/>
      <c r="M27" s="111"/>
      <c r="N27" s="109"/>
      <c r="O27" s="110"/>
      <c r="P27" s="111"/>
      <c r="Q27" s="173"/>
      <c r="R27" s="173"/>
      <c r="S27" s="173"/>
      <c r="T27" s="174"/>
    </row>
    <row r="28" ht="13.5" customHeight="1">
      <c r="A28" s="103" t="s">
        <v>64</v>
      </c>
      <c r="B28" s="115" t="s">
        <v>65</v>
      </c>
      <c r="C28" s="116" t="s">
        <v>68</v>
      </c>
      <c r="D28" s="166">
        <v>0.3</v>
      </c>
      <c r="E28" s="171">
        <f>12700+73800</f>
        <v>86500</v>
      </c>
      <c r="F28" s="172">
        <f t="shared" si="7"/>
        <v>25950</v>
      </c>
      <c r="G28" s="113"/>
      <c r="H28" s="110"/>
      <c r="I28" s="110"/>
      <c r="J28" s="114"/>
      <c r="K28" s="109"/>
      <c r="L28" s="110"/>
      <c r="M28" s="111"/>
      <c r="N28" s="109"/>
      <c r="O28" s="110"/>
      <c r="P28" s="111"/>
      <c r="Q28" s="173"/>
      <c r="R28" s="173"/>
      <c r="S28" s="173"/>
      <c r="T28" s="174"/>
    </row>
    <row r="29" ht="13.5" customHeight="1">
      <c r="A29" s="103" t="s">
        <v>64</v>
      </c>
      <c r="B29" s="115" t="s">
        <v>65</v>
      </c>
      <c r="C29" s="116" t="s">
        <v>69</v>
      </c>
      <c r="D29" s="166">
        <v>0.3</v>
      </c>
      <c r="E29" s="118">
        <v>404347.29</v>
      </c>
      <c r="F29" s="172">
        <f t="shared" si="7"/>
        <v>121304.187</v>
      </c>
      <c r="G29" s="113"/>
      <c r="H29" s="110"/>
      <c r="I29" s="110"/>
      <c r="J29" s="114"/>
      <c r="K29" s="109"/>
      <c r="L29" s="110"/>
      <c r="M29" s="111"/>
      <c r="N29" s="109"/>
      <c r="O29" s="110"/>
      <c r="P29" s="111"/>
      <c r="Q29" s="173"/>
      <c r="R29" s="173"/>
      <c r="S29" s="173"/>
      <c r="T29" s="174"/>
    </row>
    <row r="30" ht="13.5" customHeight="1">
      <c r="A30" s="103" t="s">
        <v>64</v>
      </c>
      <c r="B30" s="115">
        <v>34227.0</v>
      </c>
      <c r="C30" s="116" t="s">
        <v>70</v>
      </c>
      <c r="D30" s="166">
        <v>0.3</v>
      </c>
      <c r="E30" s="171">
        <f>108480.27+5500</f>
        <v>113980.27</v>
      </c>
      <c r="F30" s="172">
        <f t="shared" si="7"/>
        <v>34194.081</v>
      </c>
      <c r="G30" s="113"/>
      <c r="H30" s="110"/>
      <c r="I30" s="110"/>
      <c r="J30" s="114"/>
      <c r="K30" s="109"/>
      <c r="L30" s="110"/>
      <c r="M30" s="111"/>
      <c r="N30" s="109"/>
      <c r="O30" s="110"/>
      <c r="P30" s="111"/>
      <c r="Q30" s="173"/>
      <c r="R30" s="173"/>
      <c r="S30" s="173"/>
      <c r="T30" s="174"/>
    </row>
    <row r="31" ht="13.5" customHeight="1">
      <c r="A31" s="103" t="s">
        <v>64</v>
      </c>
      <c r="B31" s="175">
        <v>15609.0</v>
      </c>
      <c r="C31" s="176" t="s">
        <v>71</v>
      </c>
      <c r="D31" s="166">
        <v>0.3</v>
      </c>
      <c r="E31" s="177">
        <v>3175699.26</v>
      </c>
      <c r="F31" s="178">
        <f>(E31*D31)+F26+F27+F28+F29+F30</f>
        <v>1364168.85</v>
      </c>
      <c r="G31" s="106">
        <v>151.0</v>
      </c>
      <c r="H31" s="107">
        <f>G31*$H$3</f>
        <v>1812000</v>
      </c>
      <c r="I31" s="107">
        <f>H31*$I$3</f>
        <v>1739520</v>
      </c>
      <c r="J31" s="48">
        <f>I31*D31</f>
        <v>521856</v>
      </c>
      <c r="K31" s="109"/>
      <c r="L31" s="110"/>
      <c r="M31" s="111"/>
      <c r="N31" s="108">
        <v>37.0</v>
      </c>
      <c r="O31" s="107">
        <f>N31*$O$3</f>
        <v>640100</v>
      </c>
      <c r="P31" s="48">
        <f>O31*$D31</f>
        <v>192030</v>
      </c>
      <c r="Q31" s="179">
        <f t="shared" ref="Q31:Q56" si="21">F31+J31+M31+P31</f>
        <v>2078054.85</v>
      </c>
      <c r="R31" s="112"/>
      <c r="S31" s="180"/>
      <c r="T31" s="102">
        <f t="shared" ref="T31:T55" si="22">Q31</f>
        <v>2078054.85</v>
      </c>
      <c r="U31" s="124" t="s">
        <v>72</v>
      </c>
    </row>
    <row r="32" ht="13.5" customHeight="1">
      <c r="A32" s="103" t="s">
        <v>64</v>
      </c>
      <c r="B32" s="175">
        <v>33728.0</v>
      </c>
      <c r="C32" s="176" t="s">
        <v>73</v>
      </c>
      <c r="D32" s="166">
        <v>0.35</v>
      </c>
      <c r="E32" s="177">
        <v>1043600.0</v>
      </c>
      <c r="F32" s="48">
        <f t="shared" ref="F32:F55" si="23">E32*D32</f>
        <v>365260</v>
      </c>
      <c r="G32" s="113"/>
      <c r="H32" s="110"/>
      <c r="I32" s="110"/>
      <c r="J32" s="114"/>
      <c r="K32" s="109"/>
      <c r="L32" s="110"/>
      <c r="M32" s="111"/>
      <c r="N32" s="109"/>
      <c r="O32" s="110"/>
      <c r="P32" s="111"/>
      <c r="Q32" s="50">
        <f t="shared" si="21"/>
        <v>365260</v>
      </c>
      <c r="R32" s="112"/>
      <c r="S32" s="180"/>
      <c r="T32" s="102">
        <f t="shared" si="22"/>
        <v>365260</v>
      </c>
    </row>
    <row r="33" ht="13.5" customHeight="1">
      <c r="A33" s="103" t="s">
        <v>64</v>
      </c>
      <c r="B33" s="104">
        <v>34774.0</v>
      </c>
      <c r="C33" s="105" t="s">
        <v>74</v>
      </c>
      <c r="D33" s="166">
        <v>0.35</v>
      </c>
      <c r="E33" s="177">
        <v>460928.0</v>
      </c>
      <c r="F33" s="48">
        <f t="shared" si="23"/>
        <v>161324.8</v>
      </c>
      <c r="G33" s="113"/>
      <c r="H33" s="110"/>
      <c r="I33" s="110"/>
      <c r="J33" s="114"/>
      <c r="K33" s="109"/>
      <c r="L33" s="110"/>
      <c r="M33" s="111"/>
      <c r="N33" s="109"/>
      <c r="O33" s="110"/>
      <c r="P33" s="111"/>
      <c r="Q33" s="50">
        <f t="shared" si="21"/>
        <v>161324.8</v>
      </c>
      <c r="R33" s="159"/>
      <c r="S33" s="180"/>
      <c r="T33" s="102">
        <f t="shared" si="22"/>
        <v>161324.8</v>
      </c>
      <c r="U33" s="181" t="s">
        <v>75</v>
      </c>
    </row>
    <row r="34" ht="13.5" customHeight="1">
      <c r="A34" s="103" t="s">
        <v>64</v>
      </c>
      <c r="B34" s="182">
        <v>40353.0</v>
      </c>
      <c r="C34" s="183" t="s">
        <v>76</v>
      </c>
      <c r="D34" s="166">
        <v>0.35</v>
      </c>
      <c r="E34" s="184">
        <v>125000.0</v>
      </c>
      <c r="F34" s="48">
        <f t="shared" si="23"/>
        <v>43750</v>
      </c>
      <c r="G34" s="185"/>
      <c r="H34" s="186"/>
      <c r="I34" s="186"/>
      <c r="J34" s="187"/>
      <c r="K34" s="188"/>
      <c r="L34" s="186"/>
      <c r="M34" s="189"/>
      <c r="N34" s="188"/>
      <c r="O34" s="186"/>
      <c r="P34" s="189"/>
      <c r="Q34" s="50">
        <f t="shared" si="21"/>
        <v>43750</v>
      </c>
      <c r="R34" s="190"/>
      <c r="S34" s="67">
        <f>SUM(Q26:Q34)</f>
        <v>2648389.65</v>
      </c>
      <c r="T34" s="68">
        <f t="shared" si="22"/>
        <v>43750</v>
      </c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 ht="13.5" customHeight="1">
      <c r="A35" s="38" t="s">
        <v>77</v>
      </c>
      <c r="B35" s="39">
        <v>12196.0</v>
      </c>
      <c r="C35" s="40" t="s">
        <v>78</v>
      </c>
      <c r="D35" s="41">
        <v>0.3</v>
      </c>
      <c r="E35" s="88">
        <v>905000.0</v>
      </c>
      <c r="F35" s="46">
        <f t="shared" si="23"/>
        <v>271500</v>
      </c>
      <c r="G35" s="44">
        <v>120.0</v>
      </c>
      <c r="H35" s="107">
        <f>G35*11000</f>
        <v>1320000</v>
      </c>
      <c r="I35" s="45">
        <f>H35*$I$3</f>
        <v>1267200</v>
      </c>
      <c r="J35" s="46">
        <f>I35*D35</f>
        <v>380160</v>
      </c>
      <c r="K35" s="127"/>
      <c r="L35" s="128"/>
      <c r="M35" s="129"/>
      <c r="N35" s="127"/>
      <c r="O35" s="128"/>
      <c r="P35" s="129"/>
      <c r="Q35" s="50">
        <f t="shared" si="21"/>
        <v>651660</v>
      </c>
      <c r="R35" s="100"/>
      <c r="S35" s="52"/>
      <c r="T35" s="53">
        <f t="shared" si="22"/>
        <v>651660</v>
      </c>
    </row>
    <row r="36" ht="13.5" customHeight="1">
      <c r="A36" s="54" t="s">
        <v>79</v>
      </c>
      <c r="B36" s="55">
        <v>39745.0</v>
      </c>
      <c r="C36" s="56" t="s">
        <v>80</v>
      </c>
      <c r="D36" s="57">
        <v>0.35</v>
      </c>
      <c r="E36" s="184">
        <v>222000.0</v>
      </c>
      <c r="F36" s="59">
        <f t="shared" si="23"/>
        <v>77700</v>
      </c>
      <c r="G36" s="152"/>
      <c r="H36" s="64"/>
      <c r="I36" s="64"/>
      <c r="J36" s="153"/>
      <c r="K36" s="63"/>
      <c r="L36" s="64"/>
      <c r="M36" s="65"/>
      <c r="N36" s="63"/>
      <c r="O36" s="64"/>
      <c r="P36" s="65"/>
      <c r="Q36" s="50">
        <f t="shared" si="21"/>
        <v>77700</v>
      </c>
      <c r="R36" s="66"/>
      <c r="S36" s="151">
        <f>SUM(Q35:Q36)</f>
        <v>729360</v>
      </c>
      <c r="T36" s="68">
        <f t="shared" si="22"/>
        <v>77700</v>
      </c>
    </row>
    <row r="37" ht="13.5" customHeight="1">
      <c r="A37" s="38" t="s">
        <v>81</v>
      </c>
      <c r="B37" s="39">
        <v>24862.0</v>
      </c>
      <c r="C37" s="40" t="s">
        <v>82</v>
      </c>
      <c r="D37" s="41">
        <v>0.35</v>
      </c>
      <c r="E37" s="88">
        <v>586400.0</v>
      </c>
      <c r="F37" s="46">
        <f t="shared" si="23"/>
        <v>205240</v>
      </c>
      <c r="G37" s="106">
        <v>72.0</v>
      </c>
      <c r="H37" s="107">
        <f t="shared" ref="H37:H38" si="24">G37*$H$3</f>
        <v>864000</v>
      </c>
      <c r="I37" s="107">
        <f t="shared" ref="I37:I38" si="25">H37*$I$3</f>
        <v>829440</v>
      </c>
      <c r="J37" s="48">
        <f t="shared" ref="J37:J38" si="26">I37*D37</f>
        <v>290304</v>
      </c>
      <c r="K37" s="109"/>
      <c r="L37" s="110"/>
      <c r="M37" s="129"/>
      <c r="N37" s="109"/>
      <c r="O37" s="110"/>
      <c r="P37" s="129"/>
      <c r="Q37" s="50">
        <f t="shared" si="21"/>
        <v>495544</v>
      </c>
      <c r="R37" s="100"/>
      <c r="S37" s="143"/>
      <c r="T37" s="53">
        <f t="shared" si="22"/>
        <v>495544</v>
      </c>
    </row>
    <row r="38" ht="13.5" customHeight="1">
      <c r="A38" s="54" t="s">
        <v>83</v>
      </c>
      <c r="B38" s="55">
        <v>35424.0</v>
      </c>
      <c r="C38" s="56" t="s">
        <v>84</v>
      </c>
      <c r="D38" s="57">
        <v>0.35</v>
      </c>
      <c r="E38" s="184">
        <v>272500.0</v>
      </c>
      <c r="F38" s="59">
        <f t="shared" si="23"/>
        <v>95375</v>
      </c>
      <c r="G38" s="60">
        <v>38.0</v>
      </c>
      <c r="H38" s="107">
        <f t="shared" si="24"/>
        <v>456000</v>
      </c>
      <c r="I38" s="61">
        <f t="shared" si="25"/>
        <v>437760</v>
      </c>
      <c r="J38" s="62">
        <f t="shared" si="26"/>
        <v>153216</v>
      </c>
      <c r="K38" s="63"/>
      <c r="L38" s="64"/>
      <c r="M38" s="65"/>
      <c r="N38" s="63"/>
      <c r="O38" s="64"/>
      <c r="P38" s="65"/>
      <c r="Q38" s="50">
        <f t="shared" si="21"/>
        <v>248591</v>
      </c>
      <c r="R38" s="66"/>
      <c r="S38" s="192">
        <f>Q39</f>
        <v>5040</v>
      </c>
      <c r="T38" s="68">
        <f t="shared" si="22"/>
        <v>248591</v>
      </c>
    </row>
    <row r="39" ht="13.5" customHeight="1">
      <c r="A39" s="193" t="s">
        <v>85</v>
      </c>
      <c r="B39" s="144">
        <v>7409.0</v>
      </c>
      <c r="C39" s="145" t="s">
        <v>86</v>
      </c>
      <c r="D39" s="194">
        <v>0.35</v>
      </c>
      <c r="E39" s="58">
        <v>14400.0</v>
      </c>
      <c r="F39" s="195">
        <f t="shared" si="23"/>
        <v>5040</v>
      </c>
      <c r="G39" s="148"/>
      <c r="H39" s="94"/>
      <c r="I39" s="94"/>
      <c r="J39" s="149"/>
      <c r="K39" s="93"/>
      <c r="L39" s="94"/>
      <c r="M39" s="196"/>
      <c r="N39" s="93"/>
      <c r="O39" s="94"/>
      <c r="P39" s="196"/>
      <c r="Q39" s="50">
        <f t="shared" si="21"/>
        <v>5040</v>
      </c>
      <c r="R39" s="96"/>
      <c r="S39" s="67">
        <f>Q39</f>
        <v>5040</v>
      </c>
      <c r="T39" s="68">
        <f t="shared" si="22"/>
        <v>5040</v>
      </c>
    </row>
    <row r="40" ht="13.5" customHeight="1">
      <c r="A40" s="38" t="s">
        <v>87</v>
      </c>
      <c r="B40" s="197">
        <v>19935.0</v>
      </c>
      <c r="C40" s="198" t="s">
        <v>88</v>
      </c>
      <c r="D40" s="41">
        <v>0.35</v>
      </c>
      <c r="E40" s="199">
        <v>62900.0</v>
      </c>
      <c r="F40" s="46">
        <f t="shared" si="23"/>
        <v>22015</v>
      </c>
      <c r="G40" s="44">
        <v>21.0</v>
      </c>
      <c r="H40" s="45">
        <f>G40*$H$3</f>
        <v>252000</v>
      </c>
      <c r="I40" s="45">
        <f>H40*$I$3</f>
        <v>241920</v>
      </c>
      <c r="J40" s="46">
        <f>I40*D40</f>
        <v>84672</v>
      </c>
      <c r="K40" s="47">
        <v>0.0</v>
      </c>
      <c r="L40" s="107">
        <f>K40*$L$3</f>
        <v>0</v>
      </c>
      <c r="M40" s="48">
        <f>L40*D40</f>
        <v>0</v>
      </c>
      <c r="N40" s="47">
        <v>0.0</v>
      </c>
      <c r="O40" s="107">
        <f t="shared" ref="O40:O41" si="27">N40*$O$3</f>
        <v>0</v>
      </c>
      <c r="P40" s="48">
        <f t="shared" ref="P40:P41" si="28">O40*$D40</f>
        <v>0</v>
      </c>
      <c r="Q40" s="50">
        <f t="shared" si="21"/>
        <v>106687</v>
      </c>
      <c r="R40" s="200"/>
      <c r="S40" s="52"/>
      <c r="T40" s="137">
        <f t="shared" si="22"/>
        <v>106687</v>
      </c>
    </row>
    <row r="41" ht="13.5" customHeight="1">
      <c r="A41" s="103" t="s">
        <v>87</v>
      </c>
      <c r="B41" s="175">
        <v>2130.0</v>
      </c>
      <c r="C41" s="176" t="s">
        <v>89</v>
      </c>
      <c r="D41" s="166">
        <v>0.35</v>
      </c>
      <c r="E41" s="201">
        <v>21322.25</v>
      </c>
      <c r="F41" s="48">
        <f t="shared" si="23"/>
        <v>7462.7875</v>
      </c>
      <c r="G41" s="113"/>
      <c r="H41" s="110"/>
      <c r="I41" s="110"/>
      <c r="J41" s="114"/>
      <c r="K41" s="109"/>
      <c r="L41" s="110"/>
      <c r="M41" s="111"/>
      <c r="N41" s="108">
        <v>0.0</v>
      </c>
      <c r="O41" s="107">
        <f t="shared" si="27"/>
        <v>0</v>
      </c>
      <c r="P41" s="48">
        <f t="shared" si="28"/>
        <v>0</v>
      </c>
      <c r="Q41" s="50">
        <f t="shared" si="21"/>
        <v>7462.7875</v>
      </c>
      <c r="R41" s="202"/>
      <c r="S41" s="203"/>
      <c r="T41" s="204">
        <f t="shared" si="22"/>
        <v>7462.7875</v>
      </c>
    </row>
    <row r="42" ht="13.5" customHeight="1">
      <c r="A42" s="103" t="s">
        <v>87</v>
      </c>
      <c r="B42" s="175">
        <v>5197.0</v>
      </c>
      <c r="C42" s="176" t="s">
        <v>90</v>
      </c>
      <c r="D42" s="166">
        <v>0.35</v>
      </c>
      <c r="E42" s="201">
        <v>40000.0</v>
      </c>
      <c r="F42" s="48">
        <f t="shared" si="23"/>
        <v>14000</v>
      </c>
      <c r="G42" s="113"/>
      <c r="H42" s="110"/>
      <c r="I42" s="110"/>
      <c r="J42" s="114"/>
      <c r="K42" s="109"/>
      <c r="L42" s="110"/>
      <c r="M42" s="111"/>
      <c r="N42" s="205"/>
      <c r="O42" s="206"/>
      <c r="P42" s="207"/>
      <c r="Q42" s="50">
        <f t="shared" si="21"/>
        <v>14000</v>
      </c>
      <c r="R42" s="202"/>
      <c r="S42" s="203"/>
      <c r="T42" s="204">
        <f t="shared" si="22"/>
        <v>14000</v>
      </c>
    </row>
    <row r="43" ht="13.5" customHeight="1">
      <c r="A43" s="103" t="s">
        <v>87</v>
      </c>
      <c r="B43" s="104">
        <v>25881.0</v>
      </c>
      <c r="C43" s="105" t="s">
        <v>91</v>
      </c>
      <c r="D43" s="166">
        <v>0.35</v>
      </c>
      <c r="E43" s="88">
        <v>72800.0</v>
      </c>
      <c r="F43" s="48">
        <f t="shared" si="23"/>
        <v>25480</v>
      </c>
      <c r="G43" s="113"/>
      <c r="H43" s="110"/>
      <c r="I43" s="110"/>
      <c r="J43" s="114"/>
      <c r="K43" s="109"/>
      <c r="L43" s="110"/>
      <c r="M43" s="111"/>
      <c r="N43" s="109"/>
      <c r="O43" s="110"/>
      <c r="P43" s="208"/>
      <c r="Q43" s="50">
        <f t="shared" si="21"/>
        <v>25480</v>
      </c>
      <c r="R43" s="202"/>
      <c r="S43" s="203"/>
      <c r="T43" s="204">
        <f t="shared" si="22"/>
        <v>25480</v>
      </c>
    </row>
    <row r="44" ht="13.5" customHeight="1">
      <c r="A44" s="54" t="s">
        <v>92</v>
      </c>
      <c r="B44" s="55">
        <v>7829.0</v>
      </c>
      <c r="C44" s="56" t="s">
        <v>93</v>
      </c>
      <c r="D44" s="57">
        <v>0.35</v>
      </c>
      <c r="E44" s="184">
        <v>28000.0</v>
      </c>
      <c r="F44" s="62">
        <f t="shared" si="23"/>
        <v>9800</v>
      </c>
      <c r="G44" s="60">
        <v>7.0</v>
      </c>
      <c r="H44" s="61">
        <f t="shared" ref="H44:H46" si="29">G44*$H$3</f>
        <v>84000</v>
      </c>
      <c r="I44" s="61">
        <f t="shared" ref="I44:I46" si="30">H44*$I$3</f>
        <v>80640</v>
      </c>
      <c r="J44" s="62">
        <f t="shared" ref="J44:J46" si="31">I44*D44</f>
        <v>28224</v>
      </c>
      <c r="K44" s="63"/>
      <c r="L44" s="64"/>
      <c r="M44" s="111"/>
      <c r="N44" s="63"/>
      <c r="O44" s="64"/>
      <c r="P44" s="209"/>
      <c r="Q44" s="50">
        <f t="shared" si="21"/>
        <v>38024</v>
      </c>
      <c r="R44" s="210"/>
      <c r="S44" s="151">
        <f>SUM(Q40:Q44)</f>
        <v>191653.7875</v>
      </c>
      <c r="T44" s="204">
        <f t="shared" si="22"/>
        <v>38024</v>
      </c>
    </row>
    <row r="45" ht="13.5" customHeight="1">
      <c r="A45" s="103" t="s">
        <v>94</v>
      </c>
      <c r="B45" s="39">
        <v>20865.0</v>
      </c>
      <c r="C45" s="40" t="s">
        <v>95</v>
      </c>
      <c r="D45" s="41">
        <v>0.35</v>
      </c>
      <c r="E45" s="88">
        <f>250000+554000</f>
        <v>804000</v>
      </c>
      <c r="F45" s="46">
        <f t="shared" si="23"/>
        <v>281400</v>
      </c>
      <c r="G45" s="44">
        <v>27.0</v>
      </c>
      <c r="H45" s="107">
        <f t="shared" si="29"/>
        <v>324000</v>
      </c>
      <c r="I45" s="45">
        <f t="shared" si="30"/>
        <v>311040</v>
      </c>
      <c r="J45" s="46">
        <f t="shared" si="31"/>
        <v>108864</v>
      </c>
      <c r="K45" s="127"/>
      <c r="L45" s="128"/>
      <c r="M45" s="129"/>
      <c r="N45" s="127"/>
      <c r="O45" s="128"/>
      <c r="P45" s="129"/>
      <c r="Q45" s="50">
        <f t="shared" si="21"/>
        <v>390264</v>
      </c>
      <c r="R45" s="100"/>
      <c r="S45" s="143"/>
      <c r="T45" s="53">
        <f t="shared" si="22"/>
        <v>390264</v>
      </c>
    </row>
    <row r="46" ht="13.5" customHeight="1">
      <c r="A46" s="103" t="s">
        <v>94</v>
      </c>
      <c r="B46" s="104">
        <v>28983.0</v>
      </c>
      <c r="C46" s="105" t="s">
        <v>96</v>
      </c>
      <c r="D46" s="166">
        <v>0.35</v>
      </c>
      <c r="E46" s="211">
        <f>315000+574000</f>
        <v>889000</v>
      </c>
      <c r="F46" s="48">
        <f t="shared" si="23"/>
        <v>311150</v>
      </c>
      <c r="G46" s="106">
        <v>17.0</v>
      </c>
      <c r="H46" s="107">
        <f t="shared" si="29"/>
        <v>204000</v>
      </c>
      <c r="I46" s="107">
        <f t="shared" si="30"/>
        <v>195840</v>
      </c>
      <c r="J46" s="48">
        <f t="shared" si="31"/>
        <v>68544</v>
      </c>
      <c r="K46" s="109"/>
      <c r="L46" s="110"/>
      <c r="M46" s="111"/>
      <c r="N46" s="109"/>
      <c r="O46" s="110"/>
      <c r="P46" s="111"/>
      <c r="Q46" s="50">
        <f t="shared" si="21"/>
        <v>379694</v>
      </c>
      <c r="R46" s="112"/>
      <c r="S46" s="160"/>
      <c r="T46" s="102">
        <f t="shared" si="22"/>
        <v>379694</v>
      </c>
    </row>
    <row r="47" ht="13.5" customHeight="1">
      <c r="A47" s="54" t="s">
        <v>97</v>
      </c>
      <c r="B47" s="55">
        <v>23627.0</v>
      </c>
      <c r="C47" s="56" t="s">
        <v>98</v>
      </c>
      <c r="D47" s="57">
        <v>0.35</v>
      </c>
      <c r="E47" s="184">
        <v>90000.0</v>
      </c>
      <c r="F47" s="59">
        <f t="shared" si="23"/>
        <v>31500</v>
      </c>
      <c r="G47" s="152"/>
      <c r="H47" s="64"/>
      <c r="I47" s="64"/>
      <c r="J47" s="153"/>
      <c r="K47" s="63"/>
      <c r="L47" s="64"/>
      <c r="M47" s="65"/>
      <c r="N47" s="63"/>
      <c r="O47" s="64"/>
      <c r="P47" s="65"/>
      <c r="Q47" s="50">
        <f t="shared" si="21"/>
        <v>31500</v>
      </c>
      <c r="R47" s="66"/>
      <c r="S47" s="151">
        <f>SUM(Q45:Q47)</f>
        <v>801458</v>
      </c>
      <c r="T47" s="68">
        <f t="shared" si="22"/>
        <v>31500</v>
      </c>
    </row>
    <row r="48" ht="13.5" customHeight="1">
      <c r="A48" s="103" t="s">
        <v>99</v>
      </c>
      <c r="B48" s="39">
        <v>16905.0</v>
      </c>
      <c r="C48" s="40" t="s">
        <v>100</v>
      </c>
      <c r="D48" s="41">
        <v>0.3</v>
      </c>
      <c r="E48" s="212"/>
      <c r="F48" s="46">
        <f t="shared" si="23"/>
        <v>0</v>
      </c>
      <c r="G48" s="44">
        <v>7.0</v>
      </c>
      <c r="H48" s="107">
        <f t="shared" ref="H48:H50" si="32">G48*$H$3</f>
        <v>84000</v>
      </c>
      <c r="I48" s="45">
        <f t="shared" ref="I48:I50" si="33">H48*$I$3</f>
        <v>80640</v>
      </c>
      <c r="J48" s="46">
        <f t="shared" ref="J48:J50" si="34">I48*D48</f>
        <v>24192</v>
      </c>
      <c r="K48" s="109"/>
      <c r="L48" s="110"/>
      <c r="M48" s="111"/>
      <c r="N48" s="109"/>
      <c r="O48" s="110"/>
      <c r="P48" s="111"/>
      <c r="Q48" s="50">
        <f t="shared" si="21"/>
        <v>24192</v>
      </c>
      <c r="R48" s="100"/>
      <c r="S48" s="130"/>
      <c r="T48" s="53">
        <f t="shared" si="22"/>
        <v>24192</v>
      </c>
    </row>
    <row r="49" ht="13.5" customHeight="1">
      <c r="A49" s="103" t="s">
        <v>99</v>
      </c>
      <c r="B49" s="104">
        <v>22467.0</v>
      </c>
      <c r="C49" s="105" t="s">
        <v>101</v>
      </c>
      <c r="D49" s="166">
        <v>0.3</v>
      </c>
      <c r="E49" s="58">
        <v>1351896.41</v>
      </c>
      <c r="F49" s="48">
        <f t="shared" si="23"/>
        <v>405568.923</v>
      </c>
      <c r="G49" s="106">
        <v>96.0</v>
      </c>
      <c r="H49" s="107">
        <f t="shared" si="32"/>
        <v>1152000</v>
      </c>
      <c r="I49" s="107">
        <f t="shared" si="33"/>
        <v>1105920</v>
      </c>
      <c r="J49" s="48">
        <f t="shared" si="34"/>
        <v>331776</v>
      </c>
      <c r="K49" s="109"/>
      <c r="L49" s="110"/>
      <c r="M49" s="111"/>
      <c r="N49" s="109"/>
      <c r="O49" s="110"/>
      <c r="P49" s="111"/>
      <c r="Q49" s="50">
        <f t="shared" si="21"/>
        <v>737344.923</v>
      </c>
      <c r="R49" s="112"/>
      <c r="S49" s="180"/>
      <c r="T49" s="102">
        <f t="shared" si="22"/>
        <v>737344.923</v>
      </c>
    </row>
    <row r="50" ht="13.5" customHeight="1">
      <c r="A50" s="103" t="s">
        <v>99</v>
      </c>
      <c r="B50" s="104">
        <v>24168.0</v>
      </c>
      <c r="C50" s="105" t="s">
        <v>102</v>
      </c>
      <c r="D50" s="166">
        <v>0.35</v>
      </c>
      <c r="E50" s="88">
        <v>176000.0</v>
      </c>
      <c r="F50" s="48">
        <f t="shared" si="23"/>
        <v>61600</v>
      </c>
      <c r="G50" s="106">
        <v>14.0</v>
      </c>
      <c r="H50" s="107">
        <f t="shared" si="32"/>
        <v>168000</v>
      </c>
      <c r="I50" s="107">
        <f t="shared" si="33"/>
        <v>161280</v>
      </c>
      <c r="J50" s="48">
        <f t="shared" si="34"/>
        <v>56448</v>
      </c>
      <c r="K50" s="109"/>
      <c r="L50" s="110"/>
      <c r="M50" s="111"/>
      <c r="N50" s="109"/>
      <c r="O50" s="110"/>
      <c r="P50" s="111"/>
      <c r="Q50" s="50">
        <f t="shared" si="21"/>
        <v>118048</v>
      </c>
      <c r="R50" s="112"/>
      <c r="S50" s="180"/>
      <c r="T50" s="102">
        <f t="shared" si="22"/>
        <v>118048</v>
      </c>
    </row>
    <row r="51" ht="13.5" customHeight="1">
      <c r="A51" s="103" t="s">
        <v>99</v>
      </c>
      <c r="B51" s="104">
        <v>29857.0</v>
      </c>
      <c r="C51" s="105" t="s">
        <v>103</v>
      </c>
      <c r="D51" s="166">
        <v>0.35</v>
      </c>
      <c r="E51" s="88">
        <v>300000.0</v>
      </c>
      <c r="F51" s="48">
        <f t="shared" si="23"/>
        <v>105000</v>
      </c>
      <c r="G51" s="113"/>
      <c r="H51" s="110"/>
      <c r="I51" s="110"/>
      <c r="J51" s="114"/>
      <c r="K51" s="109"/>
      <c r="L51" s="110"/>
      <c r="M51" s="111"/>
      <c r="N51" s="109"/>
      <c r="O51" s="110"/>
      <c r="P51" s="111"/>
      <c r="Q51" s="50">
        <f t="shared" si="21"/>
        <v>105000</v>
      </c>
      <c r="R51" s="112"/>
      <c r="S51" s="180"/>
      <c r="T51" s="102">
        <f t="shared" si="22"/>
        <v>105000</v>
      </c>
    </row>
    <row r="52" ht="13.5" customHeight="1">
      <c r="A52" s="103" t="s">
        <v>104</v>
      </c>
      <c r="B52" s="55">
        <v>23995.0</v>
      </c>
      <c r="C52" s="56" t="s">
        <v>105</v>
      </c>
      <c r="D52" s="57">
        <v>0.35</v>
      </c>
      <c r="E52" s="88">
        <v>471112.71</v>
      </c>
      <c r="F52" s="59">
        <f t="shared" si="23"/>
        <v>164889.4485</v>
      </c>
      <c r="G52" s="60">
        <v>55.0</v>
      </c>
      <c r="H52" s="107">
        <f>G52*$H$3</f>
        <v>660000</v>
      </c>
      <c r="I52" s="61">
        <f>H52*$I$3</f>
        <v>633600</v>
      </c>
      <c r="J52" s="62">
        <f>I52*D52</f>
        <v>221760</v>
      </c>
      <c r="K52" s="63"/>
      <c r="L52" s="64"/>
      <c r="M52" s="65"/>
      <c r="N52" s="63"/>
      <c r="O52" s="64"/>
      <c r="P52" s="65"/>
      <c r="Q52" s="50">
        <f t="shared" si="21"/>
        <v>386649.4485</v>
      </c>
      <c r="R52" s="66"/>
      <c r="S52" s="67">
        <f>SUM(Q48:Q52)</f>
        <v>1371234.372</v>
      </c>
      <c r="T52" s="213">
        <f t="shared" si="22"/>
        <v>386649.4485</v>
      </c>
    </row>
    <row r="53" ht="13.5" customHeight="1">
      <c r="A53" s="84" t="s">
        <v>106</v>
      </c>
      <c r="B53" s="144"/>
      <c r="C53" s="86" t="s">
        <v>107</v>
      </c>
      <c r="D53" s="146">
        <v>0.35</v>
      </c>
      <c r="E53" s="212"/>
      <c r="F53" s="195">
        <f t="shared" si="23"/>
        <v>0</v>
      </c>
      <c r="G53" s="148"/>
      <c r="H53" s="94"/>
      <c r="I53" s="94"/>
      <c r="J53" s="149"/>
      <c r="K53" s="93"/>
      <c r="L53" s="94"/>
      <c r="M53" s="95"/>
      <c r="N53" s="93"/>
      <c r="O53" s="94"/>
      <c r="P53" s="95"/>
      <c r="Q53" s="50">
        <f t="shared" si="21"/>
        <v>0</v>
      </c>
      <c r="R53" s="150"/>
      <c r="S53" s="151">
        <f>Q53</f>
        <v>0</v>
      </c>
      <c r="T53" s="97">
        <f t="shared" si="22"/>
        <v>0</v>
      </c>
    </row>
    <row r="54" ht="13.5" customHeight="1">
      <c r="A54" s="38" t="s">
        <v>108</v>
      </c>
      <c r="B54" s="39">
        <v>6445.0</v>
      </c>
      <c r="C54" s="40" t="s">
        <v>109</v>
      </c>
      <c r="D54" s="41">
        <v>0.3</v>
      </c>
      <c r="E54" s="88">
        <v>507200.0</v>
      </c>
      <c r="F54" s="46">
        <f t="shared" si="23"/>
        <v>152160</v>
      </c>
      <c r="G54" s="44">
        <v>23.0</v>
      </c>
      <c r="H54" s="45">
        <f t="shared" ref="H54:H56" si="35">G54*$H$3</f>
        <v>276000</v>
      </c>
      <c r="I54" s="45">
        <f t="shared" ref="I54:I56" si="36">H54*$I$3</f>
        <v>264960</v>
      </c>
      <c r="J54" s="46">
        <f t="shared" ref="J54:J56" si="37">I54*D54</f>
        <v>79488</v>
      </c>
      <c r="K54" s="127"/>
      <c r="L54" s="128"/>
      <c r="M54" s="129"/>
      <c r="N54" s="108">
        <v>42.0</v>
      </c>
      <c r="O54" s="107">
        <f>N54*$O$3</f>
        <v>726600</v>
      </c>
      <c r="P54" s="48">
        <f>O54*$D54</f>
        <v>217980</v>
      </c>
      <c r="Q54" s="50">
        <f t="shared" si="21"/>
        <v>449628</v>
      </c>
      <c r="R54" s="100"/>
      <c r="S54" s="143"/>
      <c r="T54" s="53">
        <f t="shared" si="22"/>
        <v>449628</v>
      </c>
    </row>
    <row r="55" ht="13.5" customHeight="1">
      <c r="A55" s="103" t="s">
        <v>110</v>
      </c>
      <c r="B55" s="55">
        <v>18575.0</v>
      </c>
      <c r="C55" s="56" t="s">
        <v>111</v>
      </c>
      <c r="D55" s="57">
        <v>0.35</v>
      </c>
      <c r="E55" s="214">
        <v>89800.0</v>
      </c>
      <c r="F55" s="62">
        <f t="shared" si="23"/>
        <v>31430</v>
      </c>
      <c r="G55" s="60">
        <v>5.0</v>
      </c>
      <c r="H55" s="61">
        <f t="shared" si="35"/>
        <v>60000</v>
      </c>
      <c r="I55" s="61">
        <f t="shared" si="36"/>
        <v>57600</v>
      </c>
      <c r="J55" s="62">
        <f t="shared" si="37"/>
        <v>20160</v>
      </c>
      <c r="K55" s="63"/>
      <c r="L55" s="64"/>
      <c r="M55" s="65"/>
      <c r="N55" s="63"/>
      <c r="O55" s="64"/>
      <c r="P55" s="65"/>
      <c r="Q55" s="50">
        <f t="shared" si="21"/>
        <v>51590</v>
      </c>
      <c r="R55" s="66"/>
      <c r="S55" s="151">
        <f>SUM(Q54:Q55)</f>
        <v>501218</v>
      </c>
      <c r="T55" s="68">
        <f t="shared" si="22"/>
        <v>51590</v>
      </c>
    </row>
    <row r="56" ht="17.25" customHeight="1">
      <c r="A56" s="215" t="s">
        <v>112</v>
      </c>
      <c r="B56" s="216" t="s">
        <v>113</v>
      </c>
      <c r="C56" s="217" t="s">
        <v>114</v>
      </c>
      <c r="D56" s="126">
        <v>0.2</v>
      </c>
      <c r="E56" s="88">
        <v>263600.0</v>
      </c>
      <c r="F56" s="43">
        <f>(E56+E57)*D56</f>
        <v>119180</v>
      </c>
      <c r="G56" s="218"/>
      <c r="H56" s="107">
        <f t="shared" si="35"/>
        <v>0</v>
      </c>
      <c r="I56" s="219">
        <f t="shared" si="36"/>
        <v>0</v>
      </c>
      <c r="J56" s="220">
        <f t="shared" si="37"/>
        <v>0</v>
      </c>
      <c r="K56" s="218"/>
      <c r="L56" s="128"/>
      <c r="M56" s="129"/>
      <c r="N56" s="218"/>
      <c r="O56" s="107">
        <f t="shared" ref="O56:O57" si="38">N56*$O$3</f>
        <v>0</v>
      </c>
      <c r="P56" s="48">
        <f t="shared" ref="P56:P57" si="39">O56*$D56</f>
        <v>0</v>
      </c>
      <c r="Q56" s="50">
        <f t="shared" si="21"/>
        <v>119180</v>
      </c>
      <c r="R56" s="100">
        <v>0.5</v>
      </c>
      <c r="S56" s="143"/>
      <c r="T56" s="53">
        <f>S57*R56</f>
        <v>89590</v>
      </c>
    </row>
    <row r="57" ht="17.25" customHeight="1">
      <c r="A57" s="221" t="s">
        <v>115</v>
      </c>
      <c r="B57" s="216" t="s">
        <v>113</v>
      </c>
      <c r="C57" s="222" t="s">
        <v>116</v>
      </c>
      <c r="D57" s="223"/>
      <c r="E57" s="58">
        <v>332300.0</v>
      </c>
      <c r="F57" s="59"/>
      <c r="G57" s="224"/>
      <c r="H57" s="107"/>
      <c r="I57" s="225"/>
      <c r="J57" s="226"/>
      <c r="K57" s="224"/>
      <c r="L57" s="64"/>
      <c r="M57" s="65"/>
      <c r="N57" s="224"/>
      <c r="O57" s="107">
        <f t="shared" si="38"/>
        <v>0</v>
      </c>
      <c r="P57" s="48">
        <f t="shared" si="39"/>
        <v>0</v>
      </c>
      <c r="Q57" s="227">
        <v>60000.0</v>
      </c>
      <c r="R57" s="66">
        <v>0.5</v>
      </c>
      <c r="S57" s="151">
        <f>SUM(Q56:Q57)</f>
        <v>179180</v>
      </c>
      <c r="T57" s="68">
        <f>S57*R57</f>
        <v>89590</v>
      </c>
    </row>
    <row r="58" ht="13.5" customHeight="1">
      <c r="A58" s="228" t="s">
        <v>117</v>
      </c>
      <c r="B58" s="229"/>
      <c r="C58" s="230" t="s">
        <v>118</v>
      </c>
      <c r="D58" s="231"/>
      <c r="E58" s="232"/>
      <c r="F58" s="232">
        <v>1500000.0</v>
      </c>
      <c r="G58" s="233"/>
      <c r="H58" s="234"/>
      <c r="I58" s="234"/>
      <c r="J58" s="235"/>
      <c r="K58" s="236"/>
      <c r="L58" s="234"/>
      <c r="M58" s="237"/>
      <c r="N58" s="236"/>
      <c r="O58" s="234"/>
      <c r="P58" s="237"/>
      <c r="Q58" s="238">
        <f>F58+J58+M58</f>
        <v>1500000</v>
      </c>
      <c r="R58" s="239"/>
      <c r="S58" s="240">
        <f>Q58</f>
        <v>1500000</v>
      </c>
      <c r="T58" s="97">
        <f>S58</f>
        <v>1500000</v>
      </c>
      <c r="U58" s="124" t="s">
        <v>119</v>
      </c>
    </row>
    <row r="59" ht="13.5" customHeight="1">
      <c r="A59" s="38" t="s">
        <v>120</v>
      </c>
      <c r="B59" s="39">
        <v>17255.0</v>
      </c>
      <c r="C59" s="241" t="s">
        <v>121</v>
      </c>
      <c r="D59" s="41">
        <v>0.35</v>
      </c>
      <c r="E59" s="88">
        <v>0.0</v>
      </c>
      <c r="F59" s="46">
        <f t="shared" ref="F59:F85" si="40">E59*D59</f>
        <v>0</v>
      </c>
      <c r="G59" s="44">
        <v>0.0</v>
      </c>
      <c r="H59" s="107">
        <f t="shared" ref="H59:H61" si="41">G59*$H$3</f>
        <v>0</v>
      </c>
      <c r="I59" s="45">
        <f t="shared" ref="I59:I61" si="42">H59*$I$3</f>
        <v>0</v>
      </c>
      <c r="J59" s="46">
        <f t="shared" ref="J59:J61" si="43">I59*D59</f>
        <v>0</v>
      </c>
      <c r="K59" s="127"/>
      <c r="L59" s="128"/>
      <c r="M59" s="129"/>
      <c r="N59" s="127"/>
      <c r="O59" s="128"/>
      <c r="P59" s="129"/>
      <c r="Q59" s="50">
        <f t="shared" ref="Q59:Q82" si="44">F59+J59+M59+P59</f>
        <v>0</v>
      </c>
      <c r="R59" s="51"/>
      <c r="S59" s="52"/>
      <c r="T59" s="53">
        <f t="shared" ref="T59:T73" si="45">Q59</f>
        <v>0</v>
      </c>
    </row>
    <row r="60" ht="13.5" customHeight="1">
      <c r="A60" s="103" t="s">
        <v>122</v>
      </c>
      <c r="B60" s="55">
        <v>30027.0</v>
      </c>
      <c r="C60" s="242" t="s">
        <v>123</v>
      </c>
      <c r="D60" s="57">
        <v>0.35</v>
      </c>
      <c r="E60" s="88">
        <v>0.0</v>
      </c>
      <c r="F60" s="62">
        <f t="shared" si="40"/>
        <v>0</v>
      </c>
      <c r="G60" s="60">
        <v>0.0</v>
      </c>
      <c r="H60" s="107">
        <f t="shared" si="41"/>
        <v>0</v>
      </c>
      <c r="I60" s="61">
        <f t="shared" si="42"/>
        <v>0</v>
      </c>
      <c r="J60" s="62">
        <f t="shared" si="43"/>
        <v>0</v>
      </c>
      <c r="K60" s="63"/>
      <c r="L60" s="64"/>
      <c r="M60" s="65"/>
      <c r="N60" s="63"/>
      <c r="O60" s="64"/>
      <c r="P60" s="65"/>
      <c r="Q60" s="50">
        <f t="shared" si="44"/>
        <v>0</v>
      </c>
      <c r="R60" s="243"/>
      <c r="S60" s="151">
        <f>SUM(Q59:Q60)</f>
        <v>0</v>
      </c>
      <c r="T60" s="68">
        <f t="shared" si="45"/>
        <v>0</v>
      </c>
    </row>
    <row r="61" ht="13.5" customHeight="1">
      <c r="A61" s="84" t="s">
        <v>124</v>
      </c>
      <c r="B61" s="144">
        <v>18392.0</v>
      </c>
      <c r="C61" s="145" t="s">
        <v>125</v>
      </c>
      <c r="D61" s="146">
        <v>0.35</v>
      </c>
      <c r="E61" s="244">
        <v>0.0</v>
      </c>
      <c r="F61" s="195">
        <f t="shared" si="40"/>
        <v>0</v>
      </c>
      <c r="G61" s="245">
        <v>0.0</v>
      </c>
      <c r="H61" s="246">
        <f t="shared" si="41"/>
        <v>0</v>
      </c>
      <c r="I61" s="246">
        <f t="shared" si="42"/>
        <v>0</v>
      </c>
      <c r="J61" s="195">
        <f t="shared" si="43"/>
        <v>0</v>
      </c>
      <c r="K61" s="93"/>
      <c r="L61" s="94"/>
      <c r="M61" s="95"/>
      <c r="N61" s="93"/>
      <c r="O61" s="94"/>
      <c r="P61" s="95"/>
      <c r="Q61" s="50">
        <f t="shared" si="44"/>
        <v>0</v>
      </c>
      <c r="R61" s="96"/>
      <c r="S61" s="67">
        <f>Q61</f>
        <v>0</v>
      </c>
      <c r="T61" s="192">
        <f t="shared" si="45"/>
        <v>0</v>
      </c>
    </row>
    <row r="62">
      <c r="A62" s="103" t="s">
        <v>126</v>
      </c>
      <c r="B62" s="39">
        <v>26199.0</v>
      </c>
      <c r="C62" s="40" t="s">
        <v>127</v>
      </c>
      <c r="D62" s="41">
        <v>0.35</v>
      </c>
      <c r="E62" s="88">
        <v>500000.0</v>
      </c>
      <c r="F62" s="46">
        <f t="shared" si="40"/>
        <v>175000</v>
      </c>
      <c r="G62" s="141"/>
      <c r="H62" s="128"/>
      <c r="I62" s="128"/>
      <c r="J62" s="142"/>
      <c r="K62" s="127"/>
      <c r="L62" s="128"/>
      <c r="M62" s="129"/>
      <c r="N62" s="108">
        <v>1.0</v>
      </c>
      <c r="O62" s="107">
        <f t="shared" ref="O62:O64" si="46">N62*$O$3</f>
        <v>17300</v>
      </c>
      <c r="P62" s="48">
        <f t="shared" ref="P62:P64" si="47">O62*$D62</f>
        <v>6055</v>
      </c>
      <c r="Q62" s="50">
        <f t="shared" si="44"/>
        <v>181055</v>
      </c>
      <c r="R62" s="100"/>
      <c r="S62" s="52"/>
      <c r="T62" s="137">
        <f t="shared" si="45"/>
        <v>181055</v>
      </c>
    </row>
    <row r="63">
      <c r="A63" s="103" t="s">
        <v>126</v>
      </c>
      <c r="B63" s="104">
        <v>33763.0</v>
      </c>
      <c r="C63" s="105" t="s">
        <v>128</v>
      </c>
      <c r="D63" s="166">
        <v>0.35</v>
      </c>
      <c r="E63" s="88">
        <v>250000.0</v>
      </c>
      <c r="F63" s="48">
        <f t="shared" si="40"/>
        <v>87500</v>
      </c>
      <c r="G63" s="113"/>
      <c r="H63" s="110"/>
      <c r="I63" s="110"/>
      <c r="J63" s="114"/>
      <c r="K63" s="109"/>
      <c r="L63" s="110"/>
      <c r="M63" s="111"/>
      <c r="N63" s="108">
        <v>0.0</v>
      </c>
      <c r="O63" s="107">
        <f t="shared" si="46"/>
        <v>0</v>
      </c>
      <c r="P63" s="48">
        <f t="shared" si="47"/>
        <v>0</v>
      </c>
      <c r="Q63" s="50">
        <f t="shared" si="44"/>
        <v>87500</v>
      </c>
      <c r="R63" s="112"/>
      <c r="S63" s="52"/>
      <c r="T63" s="204">
        <f t="shared" si="45"/>
        <v>87500</v>
      </c>
    </row>
    <row r="64" ht="13.5" customHeight="1">
      <c r="A64" s="103" t="s">
        <v>126</v>
      </c>
      <c r="B64" s="55">
        <v>40924.0</v>
      </c>
      <c r="C64" s="56" t="s">
        <v>129</v>
      </c>
      <c r="D64" s="57">
        <v>0.35</v>
      </c>
      <c r="E64" s="214">
        <v>0.0</v>
      </c>
      <c r="F64" s="62">
        <f t="shared" si="40"/>
        <v>0</v>
      </c>
      <c r="G64" s="152"/>
      <c r="H64" s="64"/>
      <c r="I64" s="64"/>
      <c r="J64" s="153"/>
      <c r="K64" s="63"/>
      <c r="L64" s="64"/>
      <c r="M64" s="65"/>
      <c r="N64" s="108">
        <v>0.0</v>
      </c>
      <c r="O64" s="107">
        <f t="shared" si="46"/>
        <v>0</v>
      </c>
      <c r="P64" s="48">
        <f t="shared" si="47"/>
        <v>0</v>
      </c>
      <c r="Q64" s="50">
        <f t="shared" si="44"/>
        <v>0</v>
      </c>
      <c r="R64" s="66"/>
      <c r="S64" s="67">
        <f>SUM(Q62:Q64)</f>
        <v>268555</v>
      </c>
      <c r="T64" s="213">
        <f t="shared" si="45"/>
        <v>0</v>
      </c>
    </row>
    <row r="65" ht="13.5" customHeight="1">
      <c r="A65" s="38" t="s">
        <v>130</v>
      </c>
      <c r="B65" s="39">
        <v>27071.0</v>
      </c>
      <c r="C65" s="241" t="s">
        <v>131</v>
      </c>
      <c r="D65" s="41">
        <v>0.35</v>
      </c>
      <c r="E65" s="88">
        <v>405000.0</v>
      </c>
      <c r="F65" s="46">
        <f t="shared" si="40"/>
        <v>141750</v>
      </c>
      <c r="G65" s="44">
        <v>3.0</v>
      </c>
      <c r="H65" s="107">
        <f>G66*$H$3</f>
        <v>0</v>
      </c>
      <c r="I65" s="45">
        <f>H65*$I$3</f>
        <v>0</v>
      </c>
      <c r="J65" s="46">
        <f>I65*D65</f>
        <v>0</v>
      </c>
      <c r="K65" s="127"/>
      <c r="L65" s="128"/>
      <c r="M65" s="129"/>
      <c r="N65" s="127"/>
      <c r="O65" s="128"/>
      <c r="P65" s="129"/>
      <c r="Q65" s="50">
        <f t="shared" si="44"/>
        <v>141750</v>
      </c>
      <c r="R65" s="51"/>
      <c r="S65" s="247"/>
      <c r="T65" s="137">
        <f t="shared" si="45"/>
        <v>141750</v>
      </c>
    </row>
    <row r="66" ht="13.5" customHeight="1">
      <c r="A66" s="103" t="s">
        <v>132</v>
      </c>
      <c r="B66" s="104">
        <v>32404.0</v>
      </c>
      <c r="C66" s="248" t="s">
        <v>133</v>
      </c>
      <c r="D66" s="166">
        <v>0.35</v>
      </c>
      <c r="E66" s="88">
        <v>0.0</v>
      </c>
      <c r="F66" s="48">
        <f t="shared" si="40"/>
        <v>0</v>
      </c>
      <c r="G66" s="110"/>
      <c r="H66" s="110"/>
      <c r="I66" s="110"/>
      <c r="J66" s="114"/>
      <c r="K66" s="109"/>
      <c r="L66" s="110"/>
      <c r="M66" s="111"/>
      <c r="N66" s="109"/>
      <c r="O66" s="110"/>
      <c r="P66" s="111"/>
      <c r="Q66" s="50">
        <f t="shared" si="44"/>
        <v>0</v>
      </c>
      <c r="R66" s="249"/>
      <c r="S66" s="67">
        <f>SUM(Q65:Q66)</f>
        <v>141750</v>
      </c>
      <c r="T66" s="204">
        <f t="shared" si="45"/>
        <v>0</v>
      </c>
    </row>
    <row r="67" ht="13.5" customHeight="1">
      <c r="A67" s="84" t="s">
        <v>134</v>
      </c>
      <c r="B67" s="250">
        <v>4977.0</v>
      </c>
      <c r="C67" s="251" t="s">
        <v>135</v>
      </c>
      <c r="D67" s="146">
        <v>0.35</v>
      </c>
      <c r="E67" s="244">
        <v>55000.0</v>
      </c>
      <c r="F67" s="195">
        <f t="shared" si="40"/>
        <v>19250</v>
      </c>
      <c r="G67" s="148"/>
      <c r="H67" s="94"/>
      <c r="I67" s="94"/>
      <c r="J67" s="149"/>
      <c r="K67" s="93"/>
      <c r="L67" s="94"/>
      <c r="M67" s="95"/>
      <c r="N67" s="93"/>
      <c r="O67" s="94"/>
      <c r="P67" s="95"/>
      <c r="Q67" s="50">
        <f t="shared" si="44"/>
        <v>19250</v>
      </c>
      <c r="R67" s="252"/>
      <c r="S67" s="67">
        <f>Q67</f>
        <v>19250</v>
      </c>
      <c r="T67" s="192">
        <f t="shared" si="45"/>
        <v>19250</v>
      </c>
    </row>
    <row r="68" ht="13.5" customHeight="1">
      <c r="A68" s="38" t="s">
        <v>136</v>
      </c>
      <c r="B68" s="39">
        <v>20244.0</v>
      </c>
      <c r="C68" s="241" t="s">
        <v>137</v>
      </c>
      <c r="D68" s="41">
        <v>0.3</v>
      </c>
      <c r="E68" s="88">
        <v>114000.0</v>
      </c>
      <c r="F68" s="48">
        <f t="shared" si="40"/>
        <v>34200</v>
      </c>
      <c r="G68" s="106">
        <f>13+5+6</f>
        <v>24</v>
      </c>
      <c r="H68" s="107">
        <f>G68*$H$3</f>
        <v>288000</v>
      </c>
      <c r="I68" s="107">
        <f>H68*$I$3</f>
        <v>276480</v>
      </c>
      <c r="J68" s="46">
        <f>I68*D68</f>
        <v>82944</v>
      </c>
      <c r="K68" s="47">
        <v>2.0</v>
      </c>
      <c r="L68" s="107">
        <f>K68*$L$3</f>
        <v>29212</v>
      </c>
      <c r="M68" s="48">
        <f>L68*D68</f>
        <v>8763.6</v>
      </c>
      <c r="N68" s="47">
        <f>1+1</f>
        <v>2</v>
      </c>
      <c r="O68" s="107">
        <f>N68*$O$3</f>
        <v>34600</v>
      </c>
      <c r="P68" s="48">
        <f>O68*$D68</f>
        <v>10380</v>
      </c>
      <c r="Q68" s="50">
        <f t="shared" si="44"/>
        <v>136287.6</v>
      </c>
      <c r="R68" s="100"/>
      <c r="S68" s="143"/>
      <c r="T68" s="53">
        <f t="shared" si="45"/>
        <v>136287.6</v>
      </c>
    </row>
    <row r="69" ht="13.5" customHeight="1">
      <c r="A69" s="103" t="s">
        <v>136</v>
      </c>
      <c r="B69" s="104">
        <v>43900.0</v>
      </c>
      <c r="C69" s="248" t="s">
        <v>138</v>
      </c>
      <c r="D69" s="166">
        <v>0.35</v>
      </c>
      <c r="E69" s="88">
        <v>128500.0</v>
      </c>
      <c r="F69" s="48">
        <f t="shared" si="40"/>
        <v>44975</v>
      </c>
      <c r="G69" s="253"/>
      <c r="H69" s="110"/>
      <c r="I69" s="110"/>
      <c r="J69" s="114"/>
      <c r="K69" s="253"/>
      <c r="L69" s="110"/>
      <c r="M69" s="110"/>
      <c r="N69" s="253"/>
      <c r="O69" s="110"/>
      <c r="P69" s="110"/>
      <c r="Q69" s="50">
        <f t="shared" si="44"/>
        <v>44975</v>
      </c>
      <c r="R69" s="112"/>
      <c r="S69" s="160"/>
      <c r="T69" s="102">
        <f t="shared" si="45"/>
        <v>44975</v>
      </c>
    </row>
    <row r="70" ht="13.5" customHeight="1">
      <c r="A70" s="103" t="s">
        <v>136</v>
      </c>
      <c r="B70" s="104">
        <v>41401.0</v>
      </c>
      <c r="C70" s="248" t="s">
        <v>139</v>
      </c>
      <c r="D70" s="166">
        <v>0.35</v>
      </c>
      <c r="E70" s="88">
        <v>24000.0</v>
      </c>
      <c r="F70" s="48">
        <f t="shared" si="40"/>
        <v>8400</v>
      </c>
      <c r="G70" s="253"/>
      <c r="H70" s="110"/>
      <c r="I70" s="110"/>
      <c r="J70" s="114"/>
      <c r="K70" s="253"/>
      <c r="L70" s="110"/>
      <c r="M70" s="110"/>
      <c r="N70" s="253"/>
      <c r="O70" s="110"/>
      <c r="P70" s="110"/>
      <c r="Q70" s="50">
        <f t="shared" si="44"/>
        <v>8400</v>
      </c>
      <c r="R70" s="112"/>
      <c r="S70" s="160"/>
      <c r="T70" s="102">
        <f t="shared" si="45"/>
        <v>8400</v>
      </c>
    </row>
    <row r="71" ht="13.5" customHeight="1">
      <c r="A71" s="103" t="s">
        <v>136</v>
      </c>
      <c r="B71" s="104">
        <v>26782.0</v>
      </c>
      <c r="C71" s="248" t="s">
        <v>140</v>
      </c>
      <c r="D71" s="98">
        <v>0.35</v>
      </c>
      <c r="E71" s="88">
        <v>78500.0</v>
      </c>
      <c r="F71" s="48">
        <f t="shared" si="40"/>
        <v>27475</v>
      </c>
      <c r="G71" s="106">
        <v>11.0</v>
      </c>
      <c r="H71" s="107">
        <f t="shared" ref="H71:H72" si="48">G71*$H$3</f>
        <v>132000</v>
      </c>
      <c r="I71" s="107">
        <f t="shared" ref="I71:I72" si="49">H71*$I$3</f>
        <v>126720</v>
      </c>
      <c r="J71" s="48">
        <f t="shared" ref="J71:J72" si="50">I71*D71</f>
        <v>44352</v>
      </c>
      <c r="K71" s="108">
        <v>1.0</v>
      </c>
      <c r="L71" s="107">
        <f t="shared" ref="L71:L72" si="51">K71*$L$3</f>
        <v>14606</v>
      </c>
      <c r="M71" s="48">
        <f t="shared" ref="M71:M72" si="52">L71*D71</f>
        <v>5112.1</v>
      </c>
      <c r="N71" s="108">
        <v>3.0</v>
      </c>
      <c r="O71" s="107">
        <f t="shared" ref="O71:O72" si="53">N71*$O$3</f>
        <v>51900</v>
      </c>
      <c r="P71" s="48">
        <f t="shared" ref="P71:P72" si="54">O71*$D71</f>
        <v>18165</v>
      </c>
      <c r="Q71" s="50">
        <f t="shared" si="44"/>
        <v>95104.1</v>
      </c>
      <c r="R71" s="112"/>
      <c r="S71" s="160"/>
      <c r="T71" s="102">
        <f t="shared" si="45"/>
        <v>95104.1</v>
      </c>
    </row>
    <row r="72" ht="13.5" customHeight="1">
      <c r="A72" s="103" t="s">
        <v>141</v>
      </c>
      <c r="B72" s="104">
        <v>9952.0</v>
      </c>
      <c r="C72" s="248" t="s">
        <v>142</v>
      </c>
      <c r="D72" s="166">
        <v>0.35</v>
      </c>
      <c r="E72" s="88">
        <v>391600.0</v>
      </c>
      <c r="F72" s="48">
        <f t="shared" si="40"/>
        <v>137060</v>
      </c>
      <c r="G72" s="106">
        <v>36.0</v>
      </c>
      <c r="H72" s="107">
        <f t="shared" si="48"/>
        <v>432000</v>
      </c>
      <c r="I72" s="107">
        <f t="shared" si="49"/>
        <v>414720</v>
      </c>
      <c r="J72" s="48">
        <f t="shared" si="50"/>
        <v>145152</v>
      </c>
      <c r="K72" s="108">
        <v>6.0</v>
      </c>
      <c r="L72" s="107">
        <f t="shared" si="51"/>
        <v>87636</v>
      </c>
      <c r="M72" s="48">
        <f t="shared" si="52"/>
        <v>30672.6</v>
      </c>
      <c r="N72" s="108">
        <v>12.0</v>
      </c>
      <c r="O72" s="107">
        <f t="shared" si="53"/>
        <v>207600</v>
      </c>
      <c r="P72" s="48">
        <f t="shared" si="54"/>
        <v>72660</v>
      </c>
      <c r="Q72" s="50">
        <f t="shared" si="44"/>
        <v>385544.6</v>
      </c>
      <c r="R72" s="112"/>
      <c r="S72" s="67">
        <f>SUM(Q68:Q72)</f>
        <v>670311.3</v>
      </c>
      <c r="T72" s="102">
        <f t="shared" si="45"/>
        <v>385544.6</v>
      </c>
    </row>
    <row r="73" ht="13.5" customHeight="1">
      <c r="A73" s="84" t="s">
        <v>143</v>
      </c>
      <c r="B73" s="144">
        <v>43265.0</v>
      </c>
      <c r="C73" s="254" t="s">
        <v>144</v>
      </c>
      <c r="D73" s="146">
        <v>0.35</v>
      </c>
      <c r="E73" s="244">
        <v>125000.0</v>
      </c>
      <c r="F73" s="89">
        <f t="shared" si="40"/>
        <v>43750</v>
      </c>
      <c r="G73" s="148"/>
      <c r="H73" s="94"/>
      <c r="I73" s="94"/>
      <c r="J73" s="149"/>
      <c r="K73" s="93"/>
      <c r="L73" s="94"/>
      <c r="M73" s="95"/>
      <c r="N73" s="93"/>
      <c r="O73" s="94"/>
      <c r="P73" s="95"/>
      <c r="Q73" s="50">
        <f t="shared" si="44"/>
        <v>43750</v>
      </c>
      <c r="R73" s="252"/>
      <c r="S73" s="67">
        <f>Q73</f>
        <v>43750</v>
      </c>
      <c r="T73" s="192">
        <f t="shared" si="45"/>
        <v>43750</v>
      </c>
    </row>
    <row r="74" ht="13.5" customHeight="1">
      <c r="A74" s="103" t="s">
        <v>145</v>
      </c>
      <c r="B74" s="104">
        <v>36791.0</v>
      </c>
      <c r="C74" s="248" t="s">
        <v>146</v>
      </c>
      <c r="D74" s="166">
        <v>0.3</v>
      </c>
      <c r="E74" s="88">
        <v>72500.0</v>
      </c>
      <c r="F74" s="48">
        <f t="shared" si="40"/>
        <v>21750</v>
      </c>
      <c r="G74" s="113"/>
      <c r="H74" s="110"/>
      <c r="I74" s="110"/>
      <c r="J74" s="114"/>
      <c r="K74" s="109"/>
      <c r="L74" s="110"/>
      <c r="M74" s="208"/>
      <c r="N74" s="109"/>
      <c r="O74" s="110"/>
      <c r="P74" s="208"/>
      <c r="Q74" s="50">
        <f t="shared" si="44"/>
        <v>21750</v>
      </c>
      <c r="R74" s="255"/>
      <c r="S74" s="203"/>
      <c r="T74" s="102">
        <f t="shared" ref="T74:T79" si="55">$S$79/6</f>
        <v>16825</v>
      </c>
      <c r="U74" s="181" t="s">
        <v>75</v>
      </c>
    </row>
    <row r="75" ht="13.5" customHeight="1">
      <c r="A75" s="103" t="s">
        <v>145</v>
      </c>
      <c r="B75" s="104">
        <v>40985.0</v>
      </c>
      <c r="C75" s="248" t="s">
        <v>147</v>
      </c>
      <c r="D75" s="166">
        <v>0.3</v>
      </c>
      <c r="E75" s="88">
        <v>56000.0</v>
      </c>
      <c r="F75" s="48">
        <f t="shared" si="40"/>
        <v>16800</v>
      </c>
      <c r="G75" s="113"/>
      <c r="H75" s="110"/>
      <c r="I75" s="110"/>
      <c r="J75" s="114"/>
      <c r="K75" s="109"/>
      <c r="L75" s="110"/>
      <c r="M75" s="208"/>
      <c r="N75" s="109"/>
      <c r="O75" s="110"/>
      <c r="P75" s="208"/>
      <c r="Q75" s="50">
        <f t="shared" si="44"/>
        <v>16800</v>
      </c>
      <c r="R75" s="255"/>
      <c r="S75" s="203"/>
      <c r="T75" s="102">
        <f t="shared" si="55"/>
        <v>16825</v>
      </c>
      <c r="U75" s="181" t="s">
        <v>75</v>
      </c>
    </row>
    <row r="76" ht="13.5" customHeight="1">
      <c r="A76" s="103" t="s">
        <v>145</v>
      </c>
      <c r="B76" s="104">
        <v>33699.0</v>
      </c>
      <c r="C76" s="248" t="s">
        <v>148</v>
      </c>
      <c r="D76" s="166">
        <v>0.3</v>
      </c>
      <c r="E76" s="88">
        <v>8000.0</v>
      </c>
      <c r="F76" s="48">
        <f t="shared" si="40"/>
        <v>2400</v>
      </c>
      <c r="G76" s="113"/>
      <c r="H76" s="110"/>
      <c r="I76" s="110"/>
      <c r="J76" s="114"/>
      <c r="K76" s="109"/>
      <c r="L76" s="110"/>
      <c r="M76" s="208"/>
      <c r="N76" s="109"/>
      <c r="O76" s="110"/>
      <c r="P76" s="208"/>
      <c r="Q76" s="50">
        <f t="shared" si="44"/>
        <v>2400</v>
      </c>
      <c r="R76" s="255"/>
      <c r="S76" s="203"/>
      <c r="T76" s="102">
        <f t="shared" si="55"/>
        <v>16825</v>
      </c>
      <c r="U76" s="181" t="s">
        <v>75</v>
      </c>
    </row>
    <row r="77" ht="13.5" customHeight="1">
      <c r="A77" s="103" t="s">
        <v>145</v>
      </c>
      <c r="B77" s="104">
        <v>8308.0</v>
      </c>
      <c r="C77" s="248" t="s">
        <v>149</v>
      </c>
      <c r="D77" s="166">
        <v>0.3</v>
      </c>
      <c r="E77" s="88">
        <v>180000.0</v>
      </c>
      <c r="F77" s="48">
        <f t="shared" si="40"/>
        <v>54000</v>
      </c>
      <c r="G77" s="113"/>
      <c r="H77" s="110"/>
      <c r="I77" s="110"/>
      <c r="J77" s="114"/>
      <c r="K77" s="109"/>
      <c r="L77" s="110"/>
      <c r="M77" s="208"/>
      <c r="N77" s="109"/>
      <c r="O77" s="110"/>
      <c r="P77" s="208"/>
      <c r="Q77" s="50">
        <f t="shared" si="44"/>
        <v>54000</v>
      </c>
      <c r="R77" s="255"/>
      <c r="S77" s="203"/>
      <c r="T77" s="102">
        <f t="shared" si="55"/>
        <v>16825</v>
      </c>
      <c r="U77" s="181" t="s">
        <v>75</v>
      </c>
    </row>
    <row r="78" ht="13.5" customHeight="1">
      <c r="A78" s="103" t="s">
        <v>145</v>
      </c>
      <c r="B78" s="104">
        <v>42429.0</v>
      </c>
      <c r="C78" s="248" t="s">
        <v>150</v>
      </c>
      <c r="D78" s="166">
        <v>0.3</v>
      </c>
      <c r="E78" s="88">
        <v>0.0</v>
      </c>
      <c r="F78" s="48">
        <f t="shared" si="40"/>
        <v>0</v>
      </c>
      <c r="G78" s="113"/>
      <c r="H78" s="110"/>
      <c r="I78" s="110"/>
      <c r="J78" s="114"/>
      <c r="K78" s="109"/>
      <c r="L78" s="110"/>
      <c r="M78" s="208"/>
      <c r="N78" s="109"/>
      <c r="O78" s="110"/>
      <c r="P78" s="208"/>
      <c r="Q78" s="50">
        <f t="shared" si="44"/>
        <v>0</v>
      </c>
      <c r="R78" s="255"/>
      <c r="S78" s="203"/>
      <c r="T78" s="102">
        <f t="shared" si="55"/>
        <v>16825</v>
      </c>
      <c r="U78" s="181" t="s">
        <v>75</v>
      </c>
    </row>
    <row r="79" ht="13.5" customHeight="1">
      <c r="A79" s="103" t="s">
        <v>151</v>
      </c>
      <c r="B79" s="104">
        <v>4735.0</v>
      </c>
      <c r="C79" s="248" t="s">
        <v>152</v>
      </c>
      <c r="D79" s="166">
        <v>0.3</v>
      </c>
      <c r="E79" s="88">
        <v>20000.0</v>
      </c>
      <c r="F79" s="48">
        <f t="shared" si="40"/>
        <v>6000</v>
      </c>
      <c r="G79" s="113"/>
      <c r="H79" s="110"/>
      <c r="I79" s="110"/>
      <c r="J79" s="114"/>
      <c r="K79" s="109"/>
      <c r="L79" s="110"/>
      <c r="M79" s="208"/>
      <c r="N79" s="109"/>
      <c r="O79" s="110"/>
      <c r="P79" s="208"/>
      <c r="Q79" s="50">
        <f t="shared" si="44"/>
        <v>6000</v>
      </c>
      <c r="R79" s="255"/>
      <c r="S79" s="151">
        <f>SUM(Q74:Q79)</f>
        <v>100950</v>
      </c>
      <c r="T79" s="102">
        <f t="shared" si="55"/>
        <v>16825</v>
      </c>
    </row>
    <row r="80" ht="13.5" customHeight="1">
      <c r="A80" s="84" t="s">
        <v>153</v>
      </c>
      <c r="B80" s="85">
        <v>3247.0</v>
      </c>
      <c r="C80" s="86" t="s">
        <v>154</v>
      </c>
      <c r="D80" s="146">
        <v>0.35</v>
      </c>
      <c r="E80" s="256">
        <v>170700.0</v>
      </c>
      <c r="F80" s="195">
        <f t="shared" si="40"/>
        <v>59745</v>
      </c>
      <c r="G80" s="148"/>
      <c r="H80" s="94"/>
      <c r="I80" s="94"/>
      <c r="J80" s="149"/>
      <c r="K80" s="93"/>
      <c r="L80" s="94"/>
      <c r="M80" s="95"/>
      <c r="N80" s="93"/>
      <c r="O80" s="94"/>
      <c r="P80" s="95"/>
      <c r="Q80" s="50">
        <f t="shared" si="44"/>
        <v>59745</v>
      </c>
      <c r="R80" s="96"/>
      <c r="S80" s="67">
        <f>Q80</f>
        <v>59745</v>
      </c>
      <c r="T80" s="97">
        <f t="shared" ref="T80:T82" si="56">Q80</f>
        <v>59745</v>
      </c>
    </row>
    <row r="81" ht="13.5" customHeight="1">
      <c r="A81" s="38" t="s">
        <v>155</v>
      </c>
      <c r="B81" s="39">
        <v>17171.0</v>
      </c>
      <c r="C81" s="40" t="s">
        <v>156</v>
      </c>
      <c r="D81" s="41">
        <v>0.35</v>
      </c>
      <c r="E81" s="88">
        <v>356000.0</v>
      </c>
      <c r="F81" s="46">
        <f t="shared" si="40"/>
        <v>124600</v>
      </c>
      <c r="G81" s="44">
        <v>37.0</v>
      </c>
      <c r="H81" s="107">
        <f t="shared" ref="H81:H87" si="57">G81*$H$3</f>
        <v>444000</v>
      </c>
      <c r="I81" s="45">
        <f t="shared" ref="I81:I87" si="58">H81*$I$3</f>
        <v>426240</v>
      </c>
      <c r="J81" s="46">
        <f t="shared" ref="J81:J85" si="59">I81*D81</f>
        <v>149184</v>
      </c>
      <c r="K81" s="127"/>
      <c r="L81" s="128"/>
      <c r="M81" s="129"/>
      <c r="N81" s="127"/>
      <c r="O81" s="128"/>
      <c r="P81" s="129"/>
      <c r="Q81" s="50">
        <f t="shared" si="44"/>
        <v>273784</v>
      </c>
      <c r="R81" s="100"/>
      <c r="S81" s="130"/>
      <c r="T81" s="137">
        <f t="shared" si="56"/>
        <v>273784</v>
      </c>
    </row>
    <row r="82" ht="13.5" customHeight="1">
      <c r="A82" s="103" t="s">
        <v>157</v>
      </c>
      <c r="B82" s="55">
        <v>22654.0</v>
      </c>
      <c r="C82" s="56" t="s">
        <v>158</v>
      </c>
      <c r="D82" s="57">
        <v>0.35</v>
      </c>
      <c r="E82" s="88">
        <v>53000.0</v>
      </c>
      <c r="F82" s="62">
        <f t="shared" si="40"/>
        <v>18550</v>
      </c>
      <c r="G82" s="60">
        <v>7.0</v>
      </c>
      <c r="H82" s="107">
        <f t="shared" si="57"/>
        <v>84000</v>
      </c>
      <c r="I82" s="61">
        <f t="shared" si="58"/>
        <v>80640</v>
      </c>
      <c r="J82" s="62">
        <f t="shared" si="59"/>
        <v>28224</v>
      </c>
      <c r="K82" s="63"/>
      <c r="L82" s="64"/>
      <c r="M82" s="65"/>
      <c r="N82" s="63"/>
      <c r="O82" s="64"/>
      <c r="P82" s="65"/>
      <c r="Q82" s="50">
        <f t="shared" si="44"/>
        <v>46774</v>
      </c>
      <c r="R82" s="66"/>
      <c r="S82" s="67">
        <f>SUM(Q81:Q82)</f>
        <v>320558</v>
      </c>
      <c r="T82" s="213">
        <f t="shared" si="56"/>
        <v>46774</v>
      </c>
    </row>
    <row r="83" ht="13.5" customHeight="1">
      <c r="A83" s="38" t="s">
        <v>159</v>
      </c>
      <c r="B83" s="164">
        <v>44669.0</v>
      </c>
      <c r="C83" s="165" t="s">
        <v>160</v>
      </c>
      <c r="D83" s="41">
        <v>0.35</v>
      </c>
      <c r="E83" s="257">
        <v>0.0</v>
      </c>
      <c r="F83" s="258">
        <f t="shared" si="40"/>
        <v>0</v>
      </c>
      <c r="G83" s="259">
        <v>0.0</v>
      </c>
      <c r="H83" s="260">
        <f t="shared" si="57"/>
        <v>0</v>
      </c>
      <c r="I83" s="260">
        <f t="shared" si="58"/>
        <v>0</v>
      </c>
      <c r="J83" s="261">
        <f t="shared" si="59"/>
        <v>0</v>
      </c>
      <c r="K83" s="262"/>
      <c r="L83" s="260">
        <f t="shared" ref="L83:L94" si="60">K83*$L$3</f>
        <v>0</v>
      </c>
      <c r="M83" s="261">
        <f t="shared" ref="M83:M85" si="61">L83*D83</f>
        <v>0</v>
      </c>
      <c r="N83" s="127"/>
      <c r="O83" s="128"/>
      <c r="P83" s="129"/>
      <c r="Q83" s="129"/>
      <c r="R83" s="100"/>
      <c r="S83" s="143"/>
      <c r="T83" s="263"/>
    </row>
    <row r="84" ht="13.5" customHeight="1">
      <c r="A84" s="103" t="s">
        <v>159</v>
      </c>
      <c r="B84" s="115">
        <v>44335.0</v>
      </c>
      <c r="C84" s="116" t="s">
        <v>161</v>
      </c>
      <c r="D84" s="166">
        <v>0.35</v>
      </c>
      <c r="E84" s="118">
        <v>12000.0</v>
      </c>
      <c r="F84" s="119">
        <f t="shared" si="40"/>
        <v>4200</v>
      </c>
      <c r="G84" s="120">
        <v>3.0</v>
      </c>
      <c r="H84" s="121">
        <f t="shared" si="57"/>
        <v>36000</v>
      </c>
      <c r="I84" s="121">
        <f t="shared" si="58"/>
        <v>34560</v>
      </c>
      <c r="J84" s="122">
        <f t="shared" si="59"/>
        <v>12096</v>
      </c>
      <c r="K84" s="123"/>
      <c r="L84" s="121">
        <f t="shared" si="60"/>
        <v>0</v>
      </c>
      <c r="M84" s="122">
        <f t="shared" si="61"/>
        <v>0</v>
      </c>
      <c r="N84" s="109"/>
      <c r="O84" s="110"/>
      <c r="P84" s="111"/>
      <c r="Q84" s="111"/>
      <c r="R84" s="112"/>
      <c r="S84" s="160"/>
      <c r="T84" s="264"/>
    </row>
    <row r="85" ht="13.5" customHeight="1">
      <c r="A85" s="103" t="s">
        <v>159</v>
      </c>
      <c r="B85" s="115">
        <v>44406.0</v>
      </c>
      <c r="C85" s="116" t="s">
        <v>162</v>
      </c>
      <c r="D85" s="166">
        <v>0.35</v>
      </c>
      <c r="E85" s="118">
        <v>0.0</v>
      </c>
      <c r="F85" s="119">
        <f t="shared" si="40"/>
        <v>0</v>
      </c>
      <c r="G85" s="120">
        <v>0.0</v>
      </c>
      <c r="H85" s="121">
        <f t="shared" si="57"/>
        <v>0</v>
      </c>
      <c r="I85" s="121">
        <f t="shared" si="58"/>
        <v>0</v>
      </c>
      <c r="J85" s="122">
        <f t="shared" si="59"/>
        <v>0</v>
      </c>
      <c r="K85" s="123"/>
      <c r="L85" s="121">
        <f t="shared" si="60"/>
        <v>0</v>
      </c>
      <c r="M85" s="122">
        <f t="shared" si="61"/>
        <v>0</v>
      </c>
      <c r="N85" s="109"/>
      <c r="O85" s="110"/>
      <c r="P85" s="111"/>
      <c r="Q85" s="111"/>
      <c r="R85" s="112"/>
      <c r="S85" s="160"/>
      <c r="T85" s="264"/>
    </row>
    <row r="86" ht="13.5" customHeight="1">
      <c r="A86" s="103" t="s">
        <v>159</v>
      </c>
      <c r="B86" s="104">
        <v>21759.0</v>
      </c>
      <c r="C86" s="105" t="s">
        <v>163</v>
      </c>
      <c r="D86" s="166">
        <v>0.3</v>
      </c>
      <c r="E86" s="88">
        <v>989229.0</v>
      </c>
      <c r="F86" s="178">
        <f>(E86*$D$86)+F83+F84+F85</f>
        <v>300968.7</v>
      </c>
      <c r="G86" s="108">
        <v>86.0</v>
      </c>
      <c r="H86" s="107">
        <f t="shared" si="57"/>
        <v>1032000</v>
      </c>
      <c r="I86" s="107">
        <f t="shared" si="58"/>
        <v>990720</v>
      </c>
      <c r="J86" s="265">
        <f>(I86*$D$86)+J83+J84+J85</f>
        <v>309312</v>
      </c>
      <c r="K86" s="108">
        <v>1.0</v>
      </c>
      <c r="L86" s="107">
        <f t="shared" si="60"/>
        <v>14606</v>
      </c>
      <c r="M86" s="265">
        <f>(L86*$D$86)+M83+M84+M85</f>
        <v>4381.8</v>
      </c>
      <c r="N86" s="109"/>
      <c r="O86" s="110"/>
      <c r="P86" s="111"/>
      <c r="Q86" s="179">
        <f t="shared" ref="Q86:Q98" si="62">F86+J86+M86+P86</f>
        <v>614662.5</v>
      </c>
      <c r="R86" s="112"/>
      <c r="S86" s="160"/>
      <c r="T86" s="102">
        <f t="shared" ref="T86:T98" si="63">Q86</f>
        <v>614662.5</v>
      </c>
      <c r="U86" s="124" t="s">
        <v>164</v>
      </c>
    </row>
    <row r="87" ht="13.5" customHeight="1">
      <c r="A87" s="103" t="s">
        <v>159</v>
      </c>
      <c r="B87" s="104">
        <v>29121.0</v>
      </c>
      <c r="C87" s="105" t="s">
        <v>165</v>
      </c>
      <c r="D87" s="166">
        <v>0.35</v>
      </c>
      <c r="E87" s="88">
        <v>131800.0</v>
      </c>
      <c r="F87" s="48">
        <f t="shared" ref="F87:F98" si="64">E87*D87</f>
        <v>46130</v>
      </c>
      <c r="G87" s="106">
        <v>19.0</v>
      </c>
      <c r="H87" s="107">
        <f t="shared" si="57"/>
        <v>228000</v>
      </c>
      <c r="I87" s="107">
        <f t="shared" si="58"/>
        <v>218880</v>
      </c>
      <c r="J87" s="48">
        <f>I87*D87</f>
        <v>76608</v>
      </c>
      <c r="K87" s="108">
        <v>0.0</v>
      </c>
      <c r="L87" s="107">
        <f t="shared" si="60"/>
        <v>0</v>
      </c>
      <c r="M87" s="48">
        <f t="shared" ref="M87:M94" si="65">L87*D87</f>
        <v>0</v>
      </c>
      <c r="N87" s="109"/>
      <c r="O87" s="110"/>
      <c r="P87" s="111"/>
      <c r="Q87" s="50">
        <f t="shared" si="62"/>
        <v>122738</v>
      </c>
      <c r="R87" s="112"/>
      <c r="S87" s="160"/>
      <c r="T87" s="102">
        <f t="shared" si="63"/>
        <v>122738</v>
      </c>
    </row>
    <row r="88" ht="13.5" customHeight="1">
      <c r="A88" s="103" t="s">
        <v>159</v>
      </c>
      <c r="B88" s="104">
        <v>36361.0</v>
      </c>
      <c r="C88" s="105" t="s">
        <v>166</v>
      </c>
      <c r="D88" s="166">
        <v>0.35</v>
      </c>
      <c r="E88" s="88">
        <v>151000.0</v>
      </c>
      <c r="F88" s="48">
        <f t="shared" si="64"/>
        <v>52850</v>
      </c>
      <c r="G88" s="113"/>
      <c r="H88" s="110"/>
      <c r="I88" s="110"/>
      <c r="J88" s="114"/>
      <c r="K88" s="108">
        <v>1.0</v>
      </c>
      <c r="L88" s="107">
        <f t="shared" si="60"/>
        <v>14606</v>
      </c>
      <c r="M88" s="48">
        <f t="shared" si="65"/>
        <v>5112.1</v>
      </c>
      <c r="N88" s="109"/>
      <c r="O88" s="110"/>
      <c r="P88" s="111"/>
      <c r="Q88" s="50">
        <f t="shared" si="62"/>
        <v>57962.1</v>
      </c>
      <c r="R88" s="112"/>
      <c r="S88" s="160"/>
      <c r="T88" s="102">
        <f t="shared" si="63"/>
        <v>57962.1</v>
      </c>
    </row>
    <row r="89" ht="13.5" customHeight="1">
      <c r="A89" s="103" t="s">
        <v>159</v>
      </c>
      <c r="B89" s="104">
        <v>42778.0</v>
      </c>
      <c r="C89" s="105" t="s">
        <v>167</v>
      </c>
      <c r="D89" s="266">
        <v>0.35</v>
      </c>
      <c r="E89" s="88">
        <v>41500.0</v>
      </c>
      <c r="F89" s="48">
        <f t="shared" si="64"/>
        <v>14525</v>
      </c>
      <c r="G89" s="113"/>
      <c r="H89" s="110"/>
      <c r="I89" s="110"/>
      <c r="J89" s="114"/>
      <c r="K89" s="108">
        <v>4.0</v>
      </c>
      <c r="L89" s="107">
        <f t="shared" si="60"/>
        <v>58424</v>
      </c>
      <c r="M89" s="48">
        <f t="shared" si="65"/>
        <v>20448.4</v>
      </c>
      <c r="N89" s="109"/>
      <c r="O89" s="110"/>
      <c r="P89" s="111"/>
      <c r="Q89" s="50">
        <f t="shared" si="62"/>
        <v>34973.4</v>
      </c>
      <c r="R89" s="267"/>
      <c r="S89" s="268"/>
      <c r="T89" s="102">
        <f t="shared" si="63"/>
        <v>34973.4</v>
      </c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</row>
    <row r="90" ht="13.5" customHeight="1">
      <c r="A90" s="103" t="s">
        <v>159</v>
      </c>
      <c r="B90" s="104">
        <v>32603.0</v>
      </c>
      <c r="C90" s="105" t="s">
        <v>168</v>
      </c>
      <c r="D90" s="166">
        <v>0.3</v>
      </c>
      <c r="E90" s="88">
        <v>354398.0</v>
      </c>
      <c r="F90" s="48">
        <f t="shared" si="64"/>
        <v>106319.4</v>
      </c>
      <c r="G90" s="113"/>
      <c r="H90" s="110"/>
      <c r="I90" s="110"/>
      <c r="J90" s="114"/>
      <c r="K90" s="108">
        <v>0.0</v>
      </c>
      <c r="L90" s="107">
        <f t="shared" si="60"/>
        <v>0</v>
      </c>
      <c r="M90" s="48">
        <f t="shared" si="65"/>
        <v>0</v>
      </c>
      <c r="N90" s="109"/>
      <c r="O90" s="110"/>
      <c r="P90" s="111"/>
      <c r="Q90" s="50">
        <f t="shared" si="62"/>
        <v>106319.4</v>
      </c>
      <c r="R90" s="249"/>
      <c r="S90" s="203"/>
      <c r="T90" s="102">
        <f t="shared" si="63"/>
        <v>106319.4</v>
      </c>
    </row>
    <row r="91" ht="13.5" customHeight="1">
      <c r="A91" s="103" t="s">
        <v>159</v>
      </c>
      <c r="B91" s="104">
        <v>33384.0</v>
      </c>
      <c r="C91" s="105" t="s">
        <v>169</v>
      </c>
      <c r="D91" s="166">
        <v>0.35</v>
      </c>
      <c r="E91" s="88">
        <v>113000.0</v>
      </c>
      <c r="F91" s="48">
        <f t="shared" si="64"/>
        <v>39550</v>
      </c>
      <c r="G91" s="106">
        <v>7.0</v>
      </c>
      <c r="H91" s="107">
        <f>G91*$H$3</f>
        <v>84000</v>
      </c>
      <c r="I91" s="107">
        <f>H91*$I$3</f>
        <v>80640</v>
      </c>
      <c r="J91" s="48">
        <f>I91*D91</f>
        <v>28224</v>
      </c>
      <c r="K91" s="108">
        <v>0.0</v>
      </c>
      <c r="L91" s="107">
        <f t="shared" si="60"/>
        <v>0</v>
      </c>
      <c r="M91" s="48">
        <f t="shared" si="65"/>
        <v>0</v>
      </c>
      <c r="N91" s="109"/>
      <c r="O91" s="110"/>
      <c r="P91" s="111"/>
      <c r="Q91" s="50">
        <f t="shared" si="62"/>
        <v>67774</v>
      </c>
      <c r="R91" s="249"/>
      <c r="S91" s="203"/>
      <c r="T91" s="102">
        <f t="shared" si="63"/>
        <v>67774</v>
      </c>
    </row>
    <row r="92" ht="13.5" customHeight="1">
      <c r="A92" s="103" t="s">
        <v>159</v>
      </c>
      <c r="B92" s="104">
        <v>32786.0</v>
      </c>
      <c r="C92" s="105" t="s">
        <v>170</v>
      </c>
      <c r="D92" s="166">
        <v>0.35</v>
      </c>
      <c r="E92" s="88">
        <v>0.0</v>
      </c>
      <c r="F92" s="48">
        <f t="shared" si="64"/>
        <v>0</v>
      </c>
      <c r="G92" s="113"/>
      <c r="H92" s="110"/>
      <c r="I92" s="110"/>
      <c r="J92" s="114"/>
      <c r="K92" s="108">
        <v>0.0</v>
      </c>
      <c r="L92" s="107">
        <f t="shared" si="60"/>
        <v>0</v>
      </c>
      <c r="M92" s="48">
        <f t="shared" si="65"/>
        <v>0</v>
      </c>
      <c r="N92" s="109"/>
      <c r="O92" s="110"/>
      <c r="P92" s="111"/>
      <c r="Q92" s="50">
        <f t="shared" si="62"/>
        <v>0</v>
      </c>
      <c r="R92" s="249"/>
      <c r="S92" s="203"/>
      <c r="T92" s="102">
        <f t="shared" si="63"/>
        <v>0</v>
      </c>
    </row>
    <row r="93" ht="13.5" customHeight="1">
      <c r="A93" s="103" t="s">
        <v>159</v>
      </c>
      <c r="B93" s="104">
        <v>39037.0</v>
      </c>
      <c r="C93" s="105" t="s">
        <v>171</v>
      </c>
      <c r="D93" s="166">
        <v>0.35</v>
      </c>
      <c r="E93" s="88">
        <v>280100.0</v>
      </c>
      <c r="F93" s="48">
        <f t="shared" si="64"/>
        <v>98035</v>
      </c>
      <c r="G93" s="113"/>
      <c r="H93" s="110"/>
      <c r="I93" s="110"/>
      <c r="J93" s="114"/>
      <c r="K93" s="108">
        <v>5.0</v>
      </c>
      <c r="L93" s="107">
        <f t="shared" si="60"/>
        <v>73030</v>
      </c>
      <c r="M93" s="48">
        <f t="shared" si="65"/>
        <v>25560.5</v>
      </c>
      <c r="N93" s="109"/>
      <c r="O93" s="110"/>
      <c r="P93" s="111"/>
      <c r="Q93" s="50">
        <f t="shared" si="62"/>
        <v>123595.5</v>
      </c>
      <c r="R93" s="249"/>
      <c r="S93" s="203"/>
      <c r="T93" s="102">
        <f t="shared" si="63"/>
        <v>123595.5</v>
      </c>
    </row>
    <row r="94" ht="13.5" customHeight="1">
      <c r="A94" s="54" t="s">
        <v>172</v>
      </c>
      <c r="B94" s="55">
        <v>29646.0</v>
      </c>
      <c r="C94" s="56" t="s">
        <v>173</v>
      </c>
      <c r="D94" s="57">
        <v>0.35</v>
      </c>
      <c r="E94" s="214">
        <v>142000.0</v>
      </c>
      <c r="F94" s="62">
        <f t="shared" si="64"/>
        <v>49700</v>
      </c>
      <c r="G94" s="152"/>
      <c r="H94" s="64"/>
      <c r="I94" s="64"/>
      <c r="J94" s="153"/>
      <c r="K94" s="270">
        <v>0.0</v>
      </c>
      <c r="L94" s="107">
        <f t="shared" si="60"/>
        <v>0</v>
      </c>
      <c r="M94" s="48">
        <f t="shared" si="65"/>
        <v>0</v>
      </c>
      <c r="N94" s="109"/>
      <c r="O94" s="110"/>
      <c r="P94" s="111"/>
      <c r="Q94" s="50">
        <f t="shared" si="62"/>
        <v>49700</v>
      </c>
      <c r="R94" s="163"/>
      <c r="S94" s="151">
        <f>SUM(Q86:Q94)</f>
        <v>1177724.9</v>
      </c>
      <c r="T94" s="271">
        <f t="shared" si="63"/>
        <v>49700</v>
      </c>
    </row>
    <row r="95" ht="13.5" customHeight="1">
      <c r="A95" s="38" t="s">
        <v>174</v>
      </c>
      <c r="B95" s="39">
        <v>21947.0</v>
      </c>
      <c r="C95" s="40" t="s">
        <v>175</v>
      </c>
      <c r="D95" s="41">
        <v>0.35</v>
      </c>
      <c r="E95" s="88">
        <v>253800.0</v>
      </c>
      <c r="F95" s="46">
        <f t="shared" si="64"/>
        <v>88830</v>
      </c>
      <c r="G95" s="44">
        <v>21.0</v>
      </c>
      <c r="H95" s="45">
        <f>G95*$H$3</f>
        <v>252000</v>
      </c>
      <c r="I95" s="45">
        <f>H95*$I$3</f>
        <v>241920</v>
      </c>
      <c r="J95" s="46">
        <f>I95*D95</f>
        <v>84672</v>
      </c>
      <c r="K95" s="127"/>
      <c r="L95" s="128"/>
      <c r="M95" s="129"/>
      <c r="N95" s="47">
        <v>2.0</v>
      </c>
      <c r="O95" s="45">
        <f t="shared" ref="O95:O96" si="66">N95*$O$3</f>
        <v>34600</v>
      </c>
      <c r="P95" s="46">
        <f t="shared" ref="P95:P96" si="67">O95*$D95</f>
        <v>12110</v>
      </c>
      <c r="Q95" s="50">
        <f t="shared" si="62"/>
        <v>185612</v>
      </c>
      <c r="R95" s="100"/>
      <c r="S95" s="143"/>
      <c r="T95" s="53">
        <f t="shared" si="63"/>
        <v>185612</v>
      </c>
    </row>
    <row r="96" ht="13.5" customHeight="1">
      <c r="A96" s="103" t="s">
        <v>174</v>
      </c>
      <c r="B96" s="104">
        <v>30989.0</v>
      </c>
      <c r="C96" s="105" t="s">
        <v>176</v>
      </c>
      <c r="D96" s="166">
        <v>0.35</v>
      </c>
      <c r="E96" s="88">
        <v>132000.0</v>
      </c>
      <c r="F96" s="48">
        <f t="shared" si="64"/>
        <v>46200</v>
      </c>
      <c r="G96" s="113"/>
      <c r="H96" s="110"/>
      <c r="I96" s="110"/>
      <c r="J96" s="114"/>
      <c r="K96" s="109"/>
      <c r="L96" s="110"/>
      <c r="M96" s="111"/>
      <c r="N96" s="108">
        <v>0.0</v>
      </c>
      <c r="O96" s="107">
        <f t="shared" si="66"/>
        <v>0</v>
      </c>
      <c r="P96" s="48">
        <f t="shared" si="67"/>
        <v>0</v>
      </c>
      <c r="Q96" s="50">
        <f t="shared" si="62"/>
        <v>46200</v>
      </c>
      <c r="R96" s="112"/>
      <c r="S96" s="160"/>
      <c r="T96" s="102">
        <f t="shared" si="63"/>
        <v>46200</v>
      </c>
    </row>
    <row r="97" ht="13.5" customHeight="1">
      <c r="A97" s="103" t="s">
        <v>174</v>
      </c>
      <c r="B97" s="104">
        <v>42606.0</v>
      </c>
      <c r="C97" s="105" t="s">
        <v>177</v>
      </c>
      <c r="D97" s="166">
        <v>0.35</v>
      </c>
      <c r="E97" s="88">
        <v>101500.0</v>
      </c>
      <c r="F97" s="48">
        <f t="shared" si="64"/>
        <v>35525</v>
      </c>
      <c r="G97" s="113"/>
      <c r="H97" s="110"/>
      <c r="I97" s="110"/>
      <c r="J97" s="114"/>
      <c r="K97" s="109"/>
      <c r="L97" s="110"/>
      <c r="M97" s="111"/>
      <c r="N97" s="109"/>
      <c r="O97" s="110"/>
      <c r="P97" s="111"/>
      <c r="Q97" s="50">
        <f t="shared" si="62"/>
        <v>35525</v>
      </c>
      <c r="R97" s="159"/>
      <c r="S97" s="160"/>
      <c r="T97" s="102">
        <f t="shared" si="63"/>
        <v>35525</v>
      </c>
    </row>
    <row r="98" ht="13.5" customHeight="1">
      <c r="A98" s="54" t="s">
        <v>178</v>
      </c>
      <c r="B98" s="55">
        <v>42674.0</v>
      </c>
      <c r="C98" s="56" t="s">
        <v>179</v>
      </c>
      <c r="D98" s="57">
        <v>0.35</v>
      </c>
      <c r="E98" s="88">
        <v>352000.0</v>
      </c>
      <c r="F98" s="62">
        <f t="shared" si="64"/>
        <v>123200</v>
      </c>
      <c r="G98" s="152"/>
      <c r="H98" s="64"/>
      <c r="I98" s="64"/>
      <c r="J98" s="153"/>
      <c r="K98" s="63"/>
      <c r="L98" s="64"/>
      <c r="M98" s="65"/>
      <c r="N98" s="63"/>
      <c r="O98" s="64"/>
      <c r="P98" s="65"/>
      <c r="Q98" s="50">
        <f t="shared" si="62"/>
        <v>123200</v>
      </c>
      <c r="R98" s="163"/>
      <c r="S98" s="151">
        <f>SUM(Q95:Q98)</f>
        <v>390537</v>
      </c>
      <c r="T98" s="68">
        <f t="shared" si="63"/>
        <v>123200</v>
      </c>
    </row>
    <row r="99" ht="13.5" customHeight="1">
      <c r="A99" s="272"/>
      <c r="B99" s="273"/>
      <c r="C99" s="273"/>
      <c r="D99" s="273"/>
      <c r="E99" s="274">
        <f t="shared" ref="E99:F99" si="68">SUM(E4:E52,E54:E98)</f>
        <v>21991825.87</v>
      </c>
      <c r="F99" s="274">
        <f t="shared" si="68"/>
        <v>8883243.981</v>
      </c>
      <c r="G99" s="275"/>
      <c r="H99" s="276"/>
      <c r="I99" s="276"/>
      <c r="J99" s="277">
        <f>SUM(J4:J52,J54:J98)</f>
        <v>3846588</v>
      </c>
      <c r="K99" s="278"/>
      <c r="L99" s="277"/>
      <c r="M99" s="277">
        <f>SUM(M4:M52,M54:M98)</f>
        <v>121960.1</v>
      </c>
      <c r="N99" s="278"/>
      <c r="O99" s="277"/>
      <c r="P99" s="277">
        <f t="shared" ref="P99:Q99" si="69">SUM(P4:P52,P54:P98)</f>
        <v>608095</v>
      </c>
      <c r="Q99" s="277">
        <f t="shared" si="69"/>
        <v>13092132.01</v>
      </c>
      <c r="R99" s="279"/>
      <c r="S99" s="280">
        <f>SUM(S5:S52,S54:S98)</f>
        <v>12353037.01</v>
      </c>
      <c r="T99" s="281">
        <f>SUM(T4:T98)</f>
        <v>13092132.01</v>
      </c>
      <c r="U99" s="282">
        <v>1.3092136E7</v>
      </c>
      <c r="V99" s="283">
        <f>T99-U99</f>
        <v>-3.991000002</v>
      </c>
    </row>
    <row r="100" ht="12.75" customHeight="1">
      <c r="A100" s="284"/>
      <c r="B100" s="284"/>
      <c r="C100" s="284"/>
      <c r="D100" s="285"/>
      <c r="E100" s="286"/>
      <c r="F100" s="287"/>
      <c r="G100" s="288"/>
      <c r="H100" s="284"/>
      <c r="I100" s="284"/>
      <c r="J100" s="289"/>
      <c r="K100" s="288"/>
      <c r="L100" s="284"/>
      <c r="M100" s="289"/>
      <c r="N100" s="288"/>
      <c r="O100" s="284"/>
      <c r="P100" s="289"/>
      <c r="Q100" s="284"/>
      <c r="R100" s="284"/>
      <c r="S100" s="290" t="s">
        <v>180</v>
      </c>
      <c r="T100" s="281"/>
    </row>
    <row r="101" ht="12.75" customHeight="1">
      <c r="A101" s="284"/>
      <c r="B101" s="284"/>
      <c r="C101" s="284"/>
      <c r="D101" s="285"/>
      <c r="E101" s="286"/>
      <c r="F101" s="287"/>
      <c r="G101" s="288"/>
      <c r="H101" s="284"/>
      <c r="I101" s="284"/>
      <c r="J101" s="289"/>
      <c r="K101" s="288"/>
      <c r="L101" s="284"/>
      <c r="M101" s="289"/>
      <c r="N101" s="288"/>
      <c r="O101" s="284"/>
      <c r="P101" s="289"/>
      <c r="Q101" s="284"/>
      <c r="R101" s="284"/>
      <c r="S101" s="291"/>
      <c r="T101" s="292"/>
    </row>
    <row r="102" ht="12.75" customHeight="1">
      <c r="D102" s="293"/>
      <c r="E102" s="107"/>
      <c r="F102" s="294"/>
      <c r="G102" s="295"/>
      <c r="J102" s="296"/>
      <c r="K102" s="295"/>
      <c r="M102" s="296"/>
      <c r="N102" s="295"/>
      <c r="P102" s="296"/>
      <c r="T102" s="292"/>
    </row>
    <row r="103" ht="12.75" customHeight="1">
      <c r="D103" s="293"/>
      <c r="E103" s="107"/>
      <c r="F103" s="294"/>
      <c r="G103" s="295"/>
      <c r="J103" s="296"/>
      <c r="K103" s="295"/>
      <c r="M103" s="296"/>
      <c r="N103" s="295"/>
      <c r="P103" s="296"/>
      <c r="S103" s="297"/>
      <c r="T103" s="292"/>
    </row>
    <row r="104" ht="12.75" customHeight="1">
      <c r="D104" s="293"/>
      <c r="E104" s="107"/>
      <c r="F104" s="294"/>
      <c r="G104" s="295"/>
      <c r="J104" s="296"/>
      <c r="K104" s="295"/>
      <c r="M104" s="296"/>
      <c r="N104" s="295"/>
      <c r="P104" s="296"/>
      <c r="T104" s="292"/>
      <c r="U104" s="298"/>
    </row>
    <row r="105" ht="12.75" customHeight="1">
      <c r="D105" s="293"/>
      <c r="E105" s="107"/>
      <c r="F105" s="294"/>
      <c r="G105" s="295"/>
      <c r="J105" s="296"/>
      <c r="K105" s="295"/>
      <c r="M105" s="296"/>
      <c r="N105" s="295"/>
      <c r="P105" s="296"/>
      <c r="T105" s="292"/>
    </row>
    <row r="106" ht="12.75" customHeight="1">
      <c r="D106" s="293"/>
      <c r="E106" s="107"/>
      <c r="F106" s="294"/>
      <c r="G106" s="295"/>
      <c r="J106" s="296"/>
      <c r="K106" s="295"/>
      <c r="M106" s="296"/>
      <c r="N106" s="295"/>
      <c r="P106" s="296"/>
      <c r="T106" s="292"/>
    </row>
    <row r="107" ht="12.75" customHeight="1">
      <c r="D107" s="293"/>
      <c r="E107" s="107"/>
      <c r="F107" s="294"/>
      <c r="G107" s="295"/>
      <c r="J107" s="296"/>
      <c r="K107" s="295"/>
      <c r="M107" s="296"/>
      <c r="N107" s="295"/>
      <c r="P107" s="296"/>
      <c r="T107" s="292"/>
    </row>
    <row r="108" ht="12.75" customHeight="1">
      <c r="D108" s="293"/>
      <c r="E108" s="107"/>
      <c r="F108" s="294"/>
      <c r="G108" s="295"/>
      <c r="J108" s="296"/>
      <c r="K108" s="295"/>
      <c r="M108" s="296"/>
      <c r="N108" s="295"/>
      <c r="P108" s="296"/>
      <c r="T108" s="292"/>
    </row>
    <row r="109" ht="12.75" customHeight="1">
      <c r="D109" s="293"/>
      <c r="E109" s="107"/>
      <c r="F109" s="294"/>
      <c r="G109" s="295"/>
      <c r="J109" s="296"/>
      <c r="K109" s="295"/>
      <c r="M109" s="296"/>
      <c r="N109" s="295"/>
      <c r="P109" s="296"/>
      <c r="T109" s="292"/>
    </row>
    <row r="110" ht="12.75" customHeight="1">
      <c r="D110" s="293"/>
      <c r="E110" s="107"/>
      <c r="F110" s="294"/>
      <c r="G110" s="295"/>
      <c r="J110" s="296"/>
      <c r="K110" s="295"/>
      <c r="M110" s="296"/>
      <c r="N110" s="295"/>
      <c r="P110" s="296"/>
      <c r="T110" s="292"/>
    </row>
    <row r="111" ht="12.75" customHeight="1">
      <c r="D111" s="293"/>
      <c r="E111" s="107"/>
      <c r="F111" s="294"/>
      <c r="G111" s="295"/>
      <c r="J111" s="296"/>
      <c r="K111" s="295"/>
      <c r="M111" s="296"/>
      <c r="N111" s="295"/>
      <c r="P111" s="296"/>
      <c r="T111" s="292"/>
    </row>
    <row r="112" ht="12.75" customHeight="1">
      <c r="D112" s="293"/>
      <c r="E112" s="107"/>
      <c r="F112" s="294"/>
      <c r="G112" s="295"/>
      <c r="J112" s="296"/>
      <c r="K112" s="295"/>
      <c r="M112" s="296"/>
      <c r="N112" s="295"/>
      <c r="P112" s="296"/>
      <c r="T112" s="292"/>
    </row>
    <row r="113" ht="12.75" customHeight="1">
      <c r="D113" s="293"/>
      <c r="E113" s="107"/>
      <c r="F113" s="294"/>
      <c r="G113" s="295"/>
      <c r="J113" s="296"/>
      <c r="K113" s="295"/>
      <c r="M113" s="296"/>
      <c r="N113" s="295"/>
      <c r="P113" s="296"/>
      <c r="T113" s="292"/>
    </row>
    <row r="114" ht="12.75" customHeight="1">
      <c r="D114" s="293"/>
      <c r="E114" s="107"/>
      <c r="F114" s="294"/>
      <c r="G114" s="295"/>
      <c r="J114" s="296"/>
      <c r="K114" s="295"/>
      <c r="M114" s="296"/>
      <c r="N114" s="295"/>
      <c r="P114" s="296"/>
      <c r="T114" s="292"/>
    </row>
    <row r="115" ht="12.75" customHeight="1">
      <c r="D115" s="293"/>
      <c r="E115" s="107"/>
      <c r="F115" s="294"/>
      <c r="G115" s="295"/>
      <c r="J115" s="296"/>
      <c r="K115" s="295"/>
      <c r="M115" s="296"/>
      <c r="N115" s="295"/>
      <c r="P115" s="296"/>
      <c r="T115" s="292"/>
    </row>
    <row r="116" ht="12.75" customHeight="1">
      <c r="D116" s="293"/>
      <c r="E116" s="107"/>
      <c r="F116" s="294"/>
      <c r="G116" s="295"/>
      <c r="J116" s="296"/>
      <c r="K116" s="295"/>
      <c r="M116" s="296"/>
      <c r="N116" s="295"/>
      <c r="P116" s="296"/>
      <c r="T116" s="292"/>
    </row>
    <row r="117" ht="12.75" customHeight="1">
      <c r="D117" s="293"/>
      <c r="E117" s="107"/>
      <c r="F117" s="294"/>
      <c r="G117" s="295"/>
      <c r="J117" s="296"/>
      <c r="K117" s="295"/>
      <c r="M117" s="296"/>
      <c r="N117" s="295"/>
      <c r="P117" s="296"/>
      <c r="T117" s="292"/>
    </row>
    <row r="118" ht="12.75" customHeight="1">
      <c r="D118" s="293"/>
      <c r="E118" s="107"/>
      <c r="F118" s="294"/>
      <c r="G118" s="295"/>
      <c r="J118" s="296"/>
      <c r="K118" s="295"/>
      <c r="M118" s="296"/>
      <c r="N118" s="295"/>
      <c r="P118" s="296"/>
      <c r="T118" s="292"/>
    </row>
    <row r="119" ht="12.75" customHeight="1">
      <c r="D119" s="293"/>
      <c r="E119" s="107"/>
      <c r="F119" s="294"/>
      <c r="G119" s="295"/>
      <c r="J119" s="296"/>
      <c r="K119" s="295"/>
      <c r="M119" s="296"/>
      <c r="N119" s="295"/>
      <c r="P119" s="296"/>
      <c r="T119" s="292"/>
    </row>
    <row r="120" ht="12.75" customHeight="1">
      <c r="D120" s="293"/>
      <c r="E120" s="107"/>
      <c r="F120" s="294"/>
      <c r="G120" s="295"/>
      <c r="J120" s="296"/>
      <c r="K120" s="295"/>
      <c r="M120" s="296"/>
      <c r="N120" s="295"/>
      <c r="P120" s="296"/>
      <c r="T120" s="292"/>
    </row>
    <row r="121" ht="12.75" customHeight="1">
      <c r="D121" s="293"/>
      <c r="E121" s="107"/>
      <c r="F121" s="294"/>
      <c r="G121" s="295"/>
      <c r="J121" s="296"/>
      <c r="K121" s="295"/>
      <c r="M121" s="296"/>
      <c r="N121" s="295"/>
      <c r="P121" s="296"/>
      <c r="T121" s="292"/>
    </row>
    <row r="122" ht="12.75" customHeight="1">
      <c r="D122" s="293"/>
      <c r="E122" s="107"/>
      <c r="F122" s="294"/>
      <c r="G122" s="295"/>
      <c r="J122" s="296"/>
      <c r="K122" s="295"/>
      <c r="M122" s="296"/>
      <c r="N122" s="295"/>
      <c r="P122" s="296"/>
      <c r="T122" s="292"/>
    </row>
    <row r="123" ht="12.75" customHeight="1">
      <c r="D123" s="293"/>
      <c r="E123" s="107"/>
      <c r="F123" s="294"/>
      <c r="G123" s="295"/>
      <c r="J123" s="296"/>
      <c r="K123" s="295"/>
      <c r="M123" s="296"/>
      <c r="N123" s="295"/>
      <c r="P123" s="296"/>
      <c r="T123" s="292"/>
    </row>
    <row r="124" ht="12.75" customHeight="1">
      <c r="D124" s="293"/>
      <c r="E124" s="107"/>
      <c r="F124" s="294"/>
      <c r="G124" s="295"/>
      <c r="J124" s="296"/>
      <c r="K124" s="295"/>
      <c r="M124" s="296"/>
      <c r="N124" s="295"/>
      <c r="P124" s="296"/>
      <c r="T124" s="292"/>
    </row>
    <row r="125" ht="12.75" customHeight="1">
      <c r="D125" s="293"/>
      <c r="E125" s="107"/>
      <c r="F125" s="294"/>
      <c r="G125" s="295"/>
      <c r="J125" s="296"/>
      <c r="K125" s="295"/>
      <c r="M125" s="296"/>
      <c r="N125" s="295"/>
      <c r="P125" s="296"/>
      <c r="T125" s="292"/>
    </row>
    <row r="126" ht="12.75" customHeight="1">
      <c r="D126" s="293"/>
      <c r="E126" s="107"/>
      <c r="F126" s="294"/>
      <c r="G126" s="295"/>
      <c r="J126" s="296"/>
      <c r="K126" s="295"/>
      <c r="M126" s="296"/>
      <c r="N126" s="295"/>
      <c r="P126" s="296"/>
      <c r="T126" s="292"/>
    </row>
    <row r="127" ht="12.75" customHeight="1">
      <c r="D127" s="293"/>
      <c r="E127" s="107"/>
      <c r="F127" s="294"/>
      <c r="G127" s="295"/>
      <c r="J127" s="296"/>
      <c r="K127" s="295"/>
      <c r="M127" s="296"/>
      <c r="N127" s="295"/>
      <c r="P127" s="296"/>
      <c r="T127" s="292"/>
    </row>
    <row r="128" ht="12.75" customHeight="1">
      <c r="D128" s="293"/>
      <c r="E128" s="107"/>
      <c r="F128" s="294"/>
      <c r="G128" s="295"/>
      <c r="J128" s="296"/>
      <c r="K128" s="295"/>
      <c r="M128" s="296"/>
      <c r="N128" s="295"/>
      <c r="P128" s="296"/>
      <c r="T128" s="292"/>
    </row>
    <row r="129" ht="12.75" customHeight="1">
      <c r="D129" s="293"/>
      <c r="E129" s="107"/>
      <c r="F129" s="294"/>
      <c r="G129" s="295"/>
      <c r="J129" s="296"/>
      <c r="K129" s="295"/>
      <c r="M129" s="296"/>
      <c r="N129" s="295"/>
      <c r="P129" s="296"/>
      <c r="T129" s="292"/>
    </row>
    <row r="130" ht="12.75" customHeight="1">
      <c r="D130" s="293"/>
      <c r="E130" s="107"/>
      <c r="F130" s="294"/>
      <c r="G130" s="295"/>
      <c r="J130" s="296"/>
      <c r="K130" s="295"/>
      <c r="M130" s="296"/>
      <c r="N130" s="295"/>
      <c r="P130" s="296"/>
      <c r="T130" s="292"/>
    </row>
    <row r="131" ht="12.75" customHeight="1">
      <c r="D131" s="293"/>
      <c r="E131" s="107"/>
      <c r="F131" s="294"/>
      <c r="G131" s="295"/>
      <c r="J131" s="296"/>
      <c r="K131" s="295"/>
      <c r="M131" s="296"/>
      <c r="N131" s="295"/>
      <c r="P131" s="296"/>
      <c r="T131" s="292"/>
    </row>
    <row r="132" ht="12.75" customHeight="1">
      <c r="D132" s="293"/>
      <c r="E132" s="107"/>
      <c r="F132" s="294"/>
      <c r="G132" s="295"/>
      <c r="J132" s="296"/>
      <c r="K132" s="295"/>
      <c r="M132" s="296"/>
      <c r="N132" s="295"/>
      <c r="P132" s="296"/>
      <c r="T132" s="292"/>
    </row>
    <row r="133" ht="12.75" customHeight="1">
      <c r="D133" s="293"/>
      <c r="E133" s="107"/>
      <c r="F133" s="294"/>
      <c r="G133" s="295"/>
      <c r="J133" s="296"/>
      <c r="K133" s="295"/>
      <c r="M133" s="296"/>
      <c r="N133" s="295"/>
      <c r="P133" s="296"/>
      <c r="T133" s="292"/>
    </row>
    <row r="134" ht="12.75" customHeight="1">
      <c r="D134" s="293"/>
      <c r="E134" s="107"/>
      <c r="F134" s="294"/>
      <c r="G134" s="295"/>
      <c r="J134" s="296"/>
      <c r="K134" s="295"/>
      <c r="M134" s="296"/>
      <c r="N134" s="295"/>
      <c r="P134" s="296"/>
      <c r="T134" s="292"/>
    </row>
    <row r="135" ht="12.75" customHeight="1">
      <c r="D135" s="293"/>
      <c r="E135" s="107"/>
      <c r="F135" s="294"/>
      <c r="G135" s="295"/>
      <c r="J135" s="296"/>
      <c r="K135" s="295"/>
      <c r="M135" s="296"/>
      <c r="N135" s="295"/>
      <c r="P135" s="296"/>
      <c r="T135" s="292"/>
    </row>
    <row r="136" ht="12.75" customHeight="1">
      <c r="D136" s="293"/>
      <c r="E136" s="107"/>
      <c r="F136" s="294"/>
      <c r="G136" s="295"/>
      <c r="J136" s="296"/>
      <c r="K136" s="295"/>
      <c r="M136" s="296"/>
      <c r="N136" s="295"/>
      <c r="P136" s="296"/>
      <c r="T136" s="292"/>
    </row>
    <row r="137" ht="12.75" customHeight="1">
      <c r="D137" s="293"/>
      <c r="E137" s="107"/>
      <c r="F137" s="294"/>
      <c r="G137" s="295"/>
      <c r="J137" s="296"/>
      <c r="K137" s="295"/>
      <c r="M137" s="296"/>
      <c r="N137" s="295"/>
      <c r="P137" s="296"/>
      <c r="T137" s="292"/>
    </row>
    <row r="138" ht="12.75" customHeight="1">
      <c r="D138" s="293"/>
      <c r="E138" s="107"/>
      <c r="F138" s="294"/>
      <c r="G138" s="295"/>
      <c r="J138" s="296"/>
      <c r="K138" s="295"/>
      <c r="M138" s="296"/>
      <c r="N138" s="295"/>
      <c r="P138" s="296"/>
      <c r="T138" s="292"/>
    </row>
    <row r="139" ht="12.75" customHeight="1">
      <c r="D139" s="293"/>
      <c r="E139" s="107"/>
      <c r="F139" s="294"/>
      <c r="G139" s="295"/>
      <c r="J139" s="296"/>
      <c r="K139" s="295"/>
      <c r="M139" s="296"/>
      <c r="N139" s="295"/>
      <c r="P139" s="296"/>
      <c r="T139" s="292"/>
    </row>
    <row r="140" ht="12.75" customHeight="1">
      <c r="D140" s="293"/>
      <c r="E140" s="107"/>
      <c r="F140" s="294"/>
      <c r="G140" s="295"/>
      <c r="J140" s="296"/>
      <c r="K140" s="295"/>
      <c r="M140" s="296"/>
      <c r="N140" s="295"/>
      <c r="P140" s="296"/>
      <c r="T140" s="292"/>
    </row>
    <row r="141" ht="12.75" customHeight="1">
      <c r="D141" s="293"/>
      <c r="E141" s="107"/>
      <c r="F141" s="294"/>
      <c r="G141" s="295"/>
      <c r="J141" s="296"/>
      <c r="K141" s="295"/>
      <c r="M141" s="296"/>
      <c r="N141" s="295"/>
      <c r="P141" s="296"/>
      <c r="T141" s="292"/>
    </row>
    <row r="142" ht="12.75" customHeight="1">
      <c r="D142" s="293"/>
      <c r="E142" s="107"/>
      <c r="F142" s="294"/>
      <c r="G142" s="295"/>
      <c r="J142" s="296"/>
      <c r="K142" s="295"/>
      <c r="M142" s="296"/>
      <c r="N142" s="295"/>
      <c r="P142" s="296"/>
      <c r="T142" s="292"/>
    </row>
    <row r="143" ht="12.75" customHeight="1">
      <c r="D143" s="293"/>
      <c r="E143" s="107"/>
      <c r="F143" s="294"/>
      <c r="G143" s="295"/>
      <c r="J143" s="296"/>
      <c r="K143" s="295"/>
      <c r="M143" s="296"/>
      <c r="N143" s="295"/>
      <c r="P143" s="296"/>
      <c r="T143" s="292"/>
    </row>
    <row r="144" ht="12.75" customHeight="1">
      <c r="D144" s="293"/>
      <c r="E144" s="107"/>
      <c r="F144" s="294"/>
      <c r="G144" s="295"/>
      <c r="J144" s="296"/>
      <c r="K144" s="295"/>
      <c r="M144" s="296"/>
      <c r="N144" s="295"/>
      <c r="P144" s="296"/>
      <c r="T144" s="292"/>
    </row>
    <row r="145" ht="12.75" customHeight="1">
      <c r="D145" s="293"/>
      <c r="E145" s="107"/>
      <c r="F145" s="294"/>
      <c r="G145" s="295"/>
      <c r="J145" s="296"/>
      <c r="K145" s="295"/>
      <c r="M145" s="296"/>
      <c r="N145" s="295"/>
      <c r="P145" s="296"/>
      <c r="T145" s="292"/>
    </row>
    <row r="146" ht="12.75" customHeight="1">
      <c r="D146" s="293"/>
      <c r="E146" s="107"/>
      <c r="F146" s="294"/>
      <c r="G146" s="295"/>
      <c r="J146" s="296"/>
      <c r="K146" s="295"/>
      <c r="M146" s="296"/>
      <c r="N146" s="295"/>
      <c r="P146" s="296"/>
      <c r="T146" s="292"/>
    </row>
    <row r="147" ht="12.75" customHeight="1">
      <c r="D147" s="293"/>
      <c r="E147" s="107"/>
      <c r="F147" s="294"/>
      <c r="G147" s="295"/>
      <c r="J147" s="296"/>
      <c r="K147" s="295"/>
      <c r="M147" s="296"/>
      <c r="N147" s="295"/>
      <c r="P147" s="296"/>
      <c r="T147" s="292"/>
    </row>
    <row r="148" ht="12.75" customHeight="1">
      <c r="D148" s="293"/>
      <c r="E148" s="107"/>
      <c r="F148" s="294"/>
      <c r="G148" s="295"/>
      <c r="J148" s="296"/>
      <c r="K148" s="295"/>
      <c r="M148" s="296"/>
      <c r="N148" s="295"/>
      <c r="P148" s="296"/>
      <c r="T148" s="292"/>
    </row>
    <row r="149" ht="12.75" customHeight="1">
      <c r="D149" s="293"/>
      <c r="E149" s="107"/>
      <c r="F149" s="294"/>
      <c r="G149" s="295"/>
      <c r="J149" s="296"/>
      <c r="K149" s="295"/>
      <c r="M149" s="296"/>
      <c r="N149" s="295"/>
      <c r="P149" s="296"/>
      <c r="T149" s="292"/>
    </row>
    <row r="150" ht="12.75" customHeight="1">
      <c r="D150" s="293"/>
      <c r="E150" s="107"/>
      <c r="F150" s="294"/>
      <c r="G150" s="295"/>
      <c r="J150" s="296"/>
      <c r="K150" s="295"/>
      <c r="M150" s="296"/>
      <c r="N150" s="295"/>
      <c r="P150" s="296"/>
      <c r="T150" s="292"/>
    </row>
    <row r="151" ht="12.75" customHeight="1">
      <c r="D151" s="293"/>
      <c r="E151" s="107"/>
      <c r="F151" s="294"/>
      <c r="G151" s="295"/>
      <c r="J151" s="296"/>
      <c r="K151" s="295"/>
      <c r="M151" s="296"/>
      <c r="N151" s="295"/>
      <c r="P151" s="296"/>
      <c r="T151" s="292"/>
    </row>
    <row r="152" ht="12.75" customHeight="1">
      <c r="D152" s="293"/>
      <c r="E152" s="107"/>
      <c r="F152" s="294"/>
      <c r="G152" s="295"/>
      <c r="J152" s="296"/>
      <c r="K152" s="295"/>
      <c r="M152" s="296"/>
      <c r="N152" s="295"/>
      <c r="P152" s="296"/>
      <c r="T152" s="292"/>
    </row>
    <row r="153" ht="12.75" customHeight="1">
      <c r="D153" s="293"/>
      <c r="E153" s="107"/>
      <c r="F153" s="294"/>
      <c r="G153" s="295"/>
      <c r="J153" s="296"/>
      <c r="K153" s="295"/>
      <c r="M153" s="296"/>
      <c r="N153" s="295"/>
      <c r="P153" s="296"/>
      <c r="T153" s="292"/>
    </row>
    <row r="154" ht="12.75" customHeight="1">
      <c r="D154" s="293"/>
      <c r="E154" s="107"/>
      <c r="F154" s="294"/>
      <c r="G154" s="295"/>
      <c r="J154" s="296"/>
      <c r="K154" s="295"/>
      <c r="M154" s="296"/>
      <c r="N154" s="295"/>
      <c r="P154" s="296"/>
      <c r="T154" s="292"/>
    </row>
    <row r="155" ht="12.75" customHeight="1">
      <c r="D155" s="293"/>
      <c r="E155" s="107"/>
      <c r="F155" s="294"/>
      <c r="G155" s="295"/>
      <c r="J155" s="296"/>
      <c r="K155" s="295"/>
      <c r="M155" s="296"/>
      <c r="N155" s="295"/>
      <c r="P155" s="296"/>
      <c r="T155" s="292"/>
    </row>
    <row r="156" ht="12.75" customHeight="1">
      <c r="D156" s="293"/>
      <c r="E156" s="107"/>
      <c r="F156" s="294"/>
      <c r="G156" s="295"/>
      <c r="J156" s="296"/>
      <c r="K156" s="295"/>
      <c r="M156" s="296"/>
      <c r="N156" s="295"/>
      <c r="P156" s="296"/>
      <c r="T156" s="292"/>
    </row>
    <row r="157" ht="12.75" customHeight="1">
      <c r="D157" s="293"/>
      <c r="E157" s="107"/>
      <c r="F157" s="294"/>
      <c r="G157" s="295"/>
      <c r="J157" s="296"/>
      <c r="K157" s="295"/>
      <c r="M157" s="296"/>
      <c r="N157" s="295"/>
      <c r="P157" s="296"/>
      <c r="T157" s="292"/>
    </row>
    <row r="158" ht="12.75" customHeight="1">
      <c r="D158" s="293"/>
      <c r="E158" s="107"/>
      <c r="F158" s="294"/>
      <c r="G158" s="295"/>
      <c r="J158" s="296"/>
      <c r="K158" s="295"/>
      <c r="M158" s="296"/>
      <c r="N158" s="295"/>
      <c r="P158" s="296"/>
      <c r="T158" s="292"/>
    </row>
    <row r="159" ht="12.75" customHeight="1">
      <c r="D159" s="293"/>
      <c r="E159" s="107"/>
      <c r="F159" s="294"/>
      <c r="G159" s="295"/>
      <c r="J159" s="296"/>
      <c r="K159" s="295"/>
      <c r="M159" s="296"/>
      <c r="N159" s="295"/>
      <c r="P159" s="296"/>
      <c r="T159" s="292"/>
    </row>
    <row r="160" ht="12.75" customHeight="1">
      <c r="D160" s="293"/>
      <c r="E160" s="107"/>
      <c r="F160" s="294"/>
      <c r="G160" s="295"/>
      <c r="J160" s="296"/>
      <c r="K160" s="295"/>
      <c r="M160" s="296"/>
      <c r="N160" s="295"/>
      <c r="P160" s="296"/>
      <c r="T160" s="292"/>
    </row>
    <row r="161" ht="12.75" customHeight="1">
      <c r="D161" s="293"/>
      <c r="E161" s="107"/>
      <c r="F161" s="294"/>
      <c r="G161" s="295"/>
      <c r="J161" s="296"/>
      <c r="K161" s="295"/>
      <c r="M161" s="296"/>
      <c r="N161" s="295"/>
      <c r="P161" s="296"/>
      <c r="T161" s="292"/>
    </row>
    <row r="162" ht="12.75" customHeight="1">
      <c r="D162" s="293"/>
      <c r="E162" s="107"/>
      <c r="F162" s="294"/>
      <c r="G162" s="295"/>
      <c r="J162" s="296"/>
      <c r="K162" s="295"/>
      <c r="M162" s="296"/>
      <c r="N162" s="295"/>
      <c r="P162" s="296"/>
      <c r="T162" s="292"/>
    </row>
    <row r="163" ht="12.75" customHeight="1">
      <c r="D163" s="293"/>
      <c r="E163" s="107"/>
      <c r="F163" s="294"/>
      <c r="G163" s="295"/>
      <c r="J163" s="296"/>
      <c r="K163" s="295"/>
      <c r="M163" s="296"/>
      <c r="N163" s="295"/>
      <c r="P163" s="296"/>
      <c r="T163" s="292"/>
    </row>
    <row r="164" ht="12.75" customHeight="1">
      <c r="D164" s="293"/>
      <c r="E164" s="107"/>
      <c r="F164" s="294"/>
      <c r="G164" s="295"/>
      <c r="J164" s="296"/>
      <c r="K164" s="295"/>
      <c r="M164" s="296"/>
      <c r="N164" s="295"/>
      <c r="P164" s="296"/>
      <c r="T164" s="292"/>
    </row>
    <row r="165" ht="12.75" customHeight="1">
      <c r="D165" s="293"/>
      <c r="E165" s="107"/>
      <c r="F165" s="294"/>
      <c r="G165" s="295"/>
      <c r="J165" s="296"/>
      <c r="K165" s="295"/>
      <c r="M165" s="296"/>
      <c r="N165" s="295"/>
      <c r="P165" s="296"/>
      <c r="T165" s="292"/>
    </row>
    <row r="166" ht="12.75" customHeight="1">
      <c r="D166" s="293"/>
      <c r="E166" s="107"/>
      <c r="F166" s="294"/>
      <c r="G166" s="295"/>
      <c r="J166" s="296"/>
      <c r="K166" s="295"/>
      <c r="M166" s="296"/>
      <c r="N166" s="295"/>
      <c r="P166" s="296"/>
      <c r="T166" s="292"/>
    </row>
    <row r="167" ht="12.75" customHeight="1">
      <c r="D167" s="293"/>
      <c r="E167" s="107"/>
      <c r="F167" s="294"/>
      <c r="G167" s="295"/>
      <c r="J167" s="296"/>
      <c r="K167" s="295"/>
      <c r="M167" s="296"/>
      <c r="N167" s="295"/>
      <c r="P167" s="296"/>
      <c r="T167" s="292"/>
    </row>
    <row r="168" ht="12.75" customHeight="1">
      <c r="D168" s="293"/>
      <c r="E168" s="107"/>
      <c r="F168" s="294"/>
      <c r="G168" s="295"/>
      <c r="J168" s="296"/>
      <c r="K168" s="295"/>
      <c r="M168" s="296"/>
      <c r="N168" s="295"/>
      <c r="P168" s="296"/>
      <c r="T168" s="292"/>
    </row>
    <row r="169" ht="12.75" customHeight="1">
      <c r="D169" s="293"/>
      <c r="E169" s="107"/>
      <c r="F169" s="294"/>
      <c r="G169" s="295"/>
      <c r="J169" s="296"/>
      <c r="K169" s="295"/>
      <c r="M169" s="296"/>
      <c r="N169" s="295"/>
      <c r="P169" s="296"/>
      <c r="T169" s="292"/>
    </row>
    <row r="170" ht="12.75" customHeight="1">
      <c r="D170" s="293"/>
      <c r="E170" s="107"/>
      <c r="F170" s="294"/>
      <c r="G170" s="295"/>
      <c r="J170" s="296"/>
      <c r="K170" s="295"/>
      <c r="M170" s="296"/>
      <c r="N170" s="295"/>
      <c r="P170" s="296"/>
      <c r="T170" s="292"/>
    </row>
    <row r="171" ht="12.75" customHeight="1">
      <c r="D171" s="293"/>
      <c r="E171" s="107"/>
      <c r="F171" s="294"/>
      <c r="G171" s="295"/>
      <c r="J171" s="296"/>
      <c r="K171" s="295"/>
      <c r="M171" s="296"/>
      <c r="N171" s="295"/>
      <c r="P171" s="296"/>
      <c r="T171" s="292"/>
    </row>
    <row r="172" ht="12.75" customHeight="1">
      <c r="D172" s="293"/>
      <c r="E172" s="107"/>
      <c r="F172" s="294"/>
      <c r="G172" s="295"/>
      <c r="J172" s="296"/>
      <c r="K172" s="295"/>
      <c r="M172" s="296"/>
      <c r="N172" s="295"/>
      <c r="P172" s="296"/>
      <c r="T172" s="292"/>
    </row>
    <row r="173" ht="12.75" customHeight="1">
      <c r="D173" s="293"/>
      <c r="E173" s="107"/>
      <c r="F173" s="294"/>
      <c r="G173" s="295"/>
      <c r="J173" s="296"/>
      <c r="K173" s="295"/>
      <c r="M173" s="296"/>
      <c r="N173" s="295"/>
      <c r="P173" s="296"/>
      <c r="T173" s="292"/>
    </row>
    <row r="174" ht="12.75" customHeight="1">
      <c r="D174" s="293"/>
      <c r="E174" s="107"/>
      <c r="F174" s="294"/>
      <c r="G174" s="295"/>
      <c r="J174" s="296"/>
      <c r="K174" s="295"/>
      <c r="M174" s="296"/>
      <c r="N174" s="295"/>
      <c r="P174" s="296"/>
      <c r="T174" s="292"/>
    </row>
    <row r="175" ht="12.75" customHeight="1">
      <c r="D175" s="293"/>
      <c r="E175" s="107"/>
      <c r="F175" s="294"/>
      <c r="G175" s="295"/>
      <c r="J175" s="296"/>
      <c r="K175" s="295"/>
      <c r="M175" s="296"/>
      <c r="N175" s="295"/>
      <c r="P175" s="296"/>
      <c r="T175" s="292"/>
    </row>
    <row r="176" ht="12.75" customHeight="1">
      <c r="D176" s="293"/>
      <c r="E176" s="107"/>
      <c r="F176" s="294"/>
      <c r="G176" s="295"/>
      <c r="J176" s="296"/>
      <c r="K176" s="295"/>
      <c r="M176" s="296"/>
      <c r="N176" s="295"/>
      <c r="P176" s="296"/>
      <c r="T176" s="292"/>
    </row>
    <row r="177" ht="12.75" customHeight="1">
      <c r="D177" s="293"/>
      <c r="E177" s="107"/>
      <c r="F177" s="294"/>
      <c r="G177" s="295"/>
      <c r="J177" s="296"/>
      <c r="K177" s="295"/>
      <c r="M177" s="296"/>
      <c r="N177" s="295"/>
      <c r="P177" s="296"/>
      <c r="T177" s="292"/>
    </row>
    <row r="178" ht="12.75" customHeight="1">
      <c r="D178" s="293"/>
      <c r="E178" s="107"/>
      <c r="F178" s="294"/>
      <c r="G178" s="295"/>
      <c r="J178" s="296"/>
      <c r="K178" s="295"/>
      <c r="M178" s="296"/>
      <c r="N178" s="295"/>
      <c r="P178" s="296"/>
      <c r="T178" s="292"/>
    </row>
    <row r="179" ht="12.75" customHeight="1">
      <c r="D179" s="293"/>
      <c r="E179" s="107"/>
      <c r="F179" s="294"/>
      <c r="G179" s="295"/>
      <c r="J179" s="296"/>
      <c r="K179" s="295"/>
      <c r="M179" s="296"/>
      <c r="N179" s="295"/>
      <c r="P179" s="296"/>
      <c r="T179" s="292"/>
    </row>
    <row r="180" ht="12.75" customHeight="1">
      <c r="D180" s="293"/>
      <c r="E180" s="107"/>
      <c r="F180" s="294"/>
      <c r="G180" s="295"/>
      <c r="J180" s="296"/>
      <c r="K180" s="295"/>
      <c r="M180" s="296"/>
      <c r="N180" s="295"/>
      <c r="P180" s="296"/>
      <c r="T180" s="292"/>
    </row>
    <row r="181" ht="12.75" customHeight="1">
      <c r="D181" s="293"/>
      <c r="E181" s="107"/>
      <c r="F181" s="294"/>
      <c r="G181" s="295"/>
      <c r="J181" s="296"/>
      <c r="K181" s="295"/>
      <c r="M181" s="296"/>
      <c r="N181" s="295"/>
      <c r="P181" s="296"/>
      <c r="T181" s="292"/>
    </row>
    <row r="182" ht="12.75" customHeight="1">
      <c r="D182" s="293"/>
      <c r="E182" s="107"/>
      <c r="F182" s="294"/>
      <c r="G182" s="295"/>
      <c r="J182" s="296"/>
      <c r="K182" s="295"/>
      <c r="M182" s="296"/>
      <c r="N182" s="295"/>
      <c r="P182" s="296"/>
      <c r="T182" s="292"/>
    </row>
    <row r="183" ht="12.75" customHeight="1">
      <c r="D183" s="293"/>
      <c r="E183" s="107"/>
      <c r="F183" s="294"/>
      <c r="G183" s="295"/>
      <c r="J183" s="296"/>
      <c r="K183" s="295"/>
      <c r="M183" s="296"/>
      <c r="N183" s="295"/>
      <c r="P183" s="296"/>
      <c r="T183" s="292"/>
    </row>
    <row r="184" ht="12.75" customHeight="1">
      <c r="D184" s="293"/>
      <c r="E184" s="107"/>
      <c r="F184" s="294"/>
      <c r="G184" s="295"/>
      <c r="J184" s="296"/>
      <c r="K184" s="295"/>
      <c r="M184" s="296"/>
      <c r="N184" s="295"/>
      <c r="P184" s="296"/>
      <c r="T184" s="292"/>
    </row>
    <row r="185" ht="12.75" customHeight="1">
      <c r="D185" s="293"/>
      <c r="E185" s="107"/>
      <c r="F185" s="294"/>
      <c r="G185" s="295"/>
      <c r="J185" s="296"/>
      <c r="K185" s="295"/>
      <c r="M185" s="296"/>
      <c r="N185" s="295"/>
      <c r="P185" s="296"/>
      <c r="T185" s="292"/>
    </row>
    <row r="186" ht="12.75" customHeight="1">
      <c r="D186" s="293"/>
      <c r="E186" s="107"/>
      <c r="F186" s="294"/>
      <c r="G186" s="295"/>
      <c r="J186" s="296"/>
      <c r="K186" s="295"/>
      <c r="M186" s="296"/>
      <c r="N186" s="295"/>
      <c r="P186" s="296"/>
      <c r="T186" s="292"/>
    </row>
    <row r="187" ht="12.75" customHeight="1">
      <c r="D187" s="293"/>
      <c r="E187" s="107"/>
      <c r="F187" s="294"/>
      <c r="G187" s="295"/>
      <c r="J187" s="296"/>
      <c r="K187" s="295"/>
      <c r="M187" s="296"/>
      <c r="N187" s="295"/>
      <c r="P187" s="296"/>
      <c r="T187" s="292"/>
    </row>
    <row r="188" ht="12.75" customHeight="1">
      <c r="D188" s="293"/>
      <c r="E188" s="107"/>
      <c r="F188" s="294"/>
      <c r="G188" s="295"/>
      <c r="J188" s="296"/>
      <c r="K188" s="295"/>
      <c r="M188" s="296"/>
      <c r="N188" s="295"/>
      <c r="P188" s="296"/>
      <c r="T188" s="292"/>
    </row>
    <row r="189" ht="12.75" customHeight="1">
      <c r="D189" s="293"/>
      <c r="E189" s="107"/>
      <c r="F189" s="294"/>
      <c r="G189" s="295"/>
      <c r="J189" s="296"/>
      <c r="K189" s="295"/>
      <c r="M189" s="296"/>
      <c r="N189" s="295"/>
      <c r="P189" s="296"/>
      <c r="T189" s="292"/>
    </row>
    <row r="190" ht="12.75" customHeight="1">
      <c r="D190" s="293"/>
      <c r="E190" s="107"/>
      <c r="F190" s="294"/>
      <c r="G190" s="295"/>
      <c r="J190" s="296"/>
      <c r="K190" s="295"/>
      <c r="M190" s="296"/>
      <c r="N190" s="295"/>
      <c r="P190" s="296"/>
      <c r="T190" s="292"/>
    </row>
    <row r="191" ht="12.75" customHeight="1">
      <c r="D191" s="293"/>
      <c r="E191" s="107"/>
      <c r="F191" s="294"/>
      <c r="G191" s="295"/>
      <c r="J191" s="296"/>
      <c r="K191" s="295"/>
      <c r="M191" s="296"/>
      <c r="N191" s="295"/>
      <c r="P191" s="296"/>
      <c r="T191" s="292"/>
    </row>
    <row r="192" ht="12.75" customHeight="1">
      <c r="D192" s="293"/>
      <c r="E192" s="107"/>
      <c r="F192" s="294"/>
      <c r="G192" s="295"/>
      <c r="J192" s="296"/>
      <c r="K192" s="295"/>
      <c r="M192" s="296"/>
      <c r="N192" s="295"/>
      <c r="P192" s="296"/>
      <c r="T192" s="292"/>
    </row>
    <row r="193" ht="12.75" customHeight="1">
      <c r="D193" s="293"/>
      <c r="E193" s="107"/>
      <c r="F193" s="294"/>
      <c r="G193" s="295"/>
      <c r="J193" s="296"/>
      <c r="K193" s="295"/>
      <c r="M193" s="296"/>
      <c r="N193" s="295"/>
      <c r="P193" s="296"/>
      <c r="T193" s="292"/>
    </row>
    <row r="194" ht="12.75" customHeight="1">
      <c r="D194" s="293"/>
      <c r="E194" s="107"/>
      <c r="F194" s="294"/>
      <c r="G194" s="295"/>
      <c r="J194" s="296"/>
      <c r="K194" s="295"/>
      <c r="M194" s="296"/>
      <c r="N194" s="295"/>
      <c r="P194" s="296"/>
      <c r="T194" s="292"/>
    </row>
    <row r="195" ht="12.75" customHeight="1">
      <c r="D195" s="293"/>
      <c r="E195" s="107"/>
      <c r="F195" s="294"/>
      <c r="G195" s="295"/>
      <c r="J195" s="296"/>
      <c r="K195" s="295"/>
      <c r="M195" s="296"/>
      <c r="N195" s="295"/>
      <c r="P195" s="296"/>
      <c r="T195" s="292"/>
    </row>
    <row r="196" ht="12.75" customHeight="1">
      <c r="D196" s="293"/>
      <c r="E196" s="107"/>
      <c r="F196" s="294"/>
      <c r="G196" s="295"/>
      <c r="J196" s="296"/>
      <c r="K196" s="295"/>
      <c r="M196" s="296"/>
      <c r="N196" s="295"/>
      <c r="P196" s="296"/>
      <c r="T196" s="292"/>
    </row>
    <row r="197" ht="12.75" customHeight="1">
      <c r="D197" s="293"/>
      <c r="E197" s="107"/>
      <c r="F197" s="294"/>
      <c r="G197" s="295"/>
      <c r="J197" s="296"/>
      <c r="K197" s="295"/>
      <c r="M197" s="296"/>
      <c r="N197" s="295"/>
      <c r="P197" s="296"/>
      <c r="T197" s="292"/>
    </row>
    <row r="198" ht="12.75" customHeight="1">
      <c r="D198" s="293"/>
      <c r="E198" s="107"/>
      <c r="F198" s="294"/>
      <c r="G198" s="295"/>
      <c r="J198" s="296"/>
      <c r="K198" s="295"/>
      <c r="M198" s="296"/>
      <c r="N198" s="295"/>
      <c r="P198" s="296"/>
      <c r="T198" s="292"/>
    </row>
    <row r="199" ht="12.75" customHeight="1">
      <c r="D199" s="293"/>
      <c r="E199" s="107"/>
      <c r="F199" s="294"/>
      <c r="G199" s="295"/>
      <c r="J199" s="296"/>
      <c r="K199" s="295"/>
      <c r="M199" s="296"/>
      <c r="N199" s="295"/>
      <c r="P199" s="296"/>
      <c r="T199" s="292"/>
    </row>
    <row r="200" ht="12.75" customHeight="1">
      <c r="D200" s="293"/>
      <c r="E200" s="107"/>
      <c r="F200" s="294"/>
      <c r="G200" s="295"/>
      <c r="J200" s="296"/>
      <c r="K200" s="295"/>
      <c r="M200" s="296"/>
      <c r="N200" s="295"/>
      <c r="P200" s="296"/>
      <c r="T200" s="292"/>
    </row>
    <row r="201" ht="12.75" customHeight="1">
      <c r="D201" s="293"/>
      <c r="E201" s="107"/>
      <c r="F201" s="294"/>
      <c r="G201" s="295"/>
      <c r="J201" s="296"/>
      <c r="K201" s="295"/>
      <c r="M201" s="296"/>
      <c r="N201" s="295"/>
      <c r="P201" s="296"/>
      <c r="T201" s="292"/>
    </row>
    <row r="202" ht="12.75" customHeight="1">
      <c r="D202" s="293"/>
      <c r="E202" s="107"/>
      <c r="F202" s="294"/>
      <c r="G202" s="295"/>
      <c r="J202" s="296"/>
      <c r="K202" s="295"/>
      <c r="M202" s="296"/>
      <c r="N202" s="295"/>
      <c r="P202" s="296"/>
      <c r="T202" s="292"/>
    </row>
    <row r="203" ht="12.75" customHeight="1">
      <c r="D203" s="293"/>
      <c r="E203" s="107"/>
      <c r="F203" s="294"/>
      <c r="G203" s="295"/>
      <c r="J203" s="296"/>
      <c r="K203" s="295"/>
      <c r="M203" s="296"/>
      <c r="N203" s="295"/>
      <c r="P203" s="296"/>
      <c r="T203" s="292"/>
    </row>
    <row r="204" ht="12.75" customHeight="1">
      <c r="D204" s="293"/>
      <c r="E204" s="107"/>
      <c r="F204" s="294"/>
      <c r="G204" s="295"/>
      <c r="J204" s="296"/>
      <c r="K204" s="295"/>
      <c r="M204" s="296"/>
      <c r="N204" s="295"/>
      <c r="P204" s="296"/>
      <c r="T204" s="292"/>
    </row>
    <row r="205" ht="12.75" customHeight="1">
      <c r="D205" s="293"/>
      <c r="E205" s="107"/>
      <c r="F205" s="294"/>
      <c r="G205" s="295"/>
      <c r="J205" s="296"/>
      <c r="K205" s="295"/>
      <c r="M205" s="296"/>
      <c r="N205" s="295"/>
      <c r="P205" s="296"/>
      <c r="T205" s="292"/>
    </row>
    <row r="206" ht="12.75" customHeight="1">
      <c r="D206" s="293"/>
      <c r="E206" s="107"/>
      <c r="F206" s="294"/>
      <c r="G206" s="295"/>
      <c r="J206" s="296"/>
      <c r="K206" s="295"/>
      <c r="M206" s="296"/>
      <c r="N206" s="295"/>
      <c r="P206" s="296"/>
      <c r="T206" s="292"/>
    </row>
    <row r="207" ht="12.75" customHeight="1">
      <c r="D207" s="293"/>
      <c r="E207" s="107"/>
      <c r="F207" s="294"/>
      <c r="G207" s="295"/>
      <c r="J207" s="296"/>
      <c r="K207" s="295"/>
      <c r="M207" s="296"/>
      <c r="N207" s="295"/>
      <c r="P207" s="296"/>
      <c r="T207" s="292"/>
    </row>
    <row r="208" ht="12.75" customHeight="1">
      <c r="D208" s="293"/>
      <c r="E208" s="107"/>
      <c r="F208" s="294"/>
      <c r="G208" s="295"/>
      <c r="J208" s="296"/>
      <c r="K208" s="295"/>
      <c r="M208" s="296"/>
      <c r="N208" s="295"/>
      <c r="P208" s="296"/>
      <c r="T208" s="292"/>
    </row>
    <row r="209" ht="12.75" customHeight="1">
      <c r="D209" s="293"/>
      <c r="E209" s="107"/>
      <c r="F209" s="294"/>
      <c r="G209" s="295"/>
      <c r="J209" s="296"/>
      <c r="K209" s="295"/>
      <c r="M209" s="296"/>
      <c r="N209" s="295"/>
      <c r="P209" s="296"/>
      <c r="T209" s="292"/>
    </row>
    <row r="210" ht="12.75" customHeight="1">
      <c r="D210" s="293"/>
      <c r="E210" s="107"/>
      <c r="F210" s="294"/>
      <c r="G210" s="295"/>
      <c r="J210" s="296"/>
      <c r="K210" s="295"/>
      <c r="M210" s="296"/>
      <c r="N210" s="295"/>
      <c r="P210" s="296"/>
      <c r="T210" s="292"/>
    </row>
    <row r="211" ht="12.75" customHeight="1">
      <c r="D211" s="293"/>
      <c r="E211" s="107"/>
      <c r="F211" s="294"/>
      <c r="G211" s="295"/>
      <c r="J211" s="296"/>
      <c r="K211" s="295"/>
      <c r="M211" s="296"/>
      <c r="N211" s="295"/>
      <c r="P211" s="296"/>
      <c r="T211" s="292"/>
    </row>
    <row r="212" ht="12.75" customHeight="1">
      <c r="D212" s="293"/>
      <c r="E212" s="107"/>
      <c r="F212" s="294"/>
      <c r="G212" s="295"/>
      <c r="J212" s="296"/>
      <c r="K212" s="295"/>
      <c r="M212" s="296"/>
      <c r="N212" s="295"/>
      <c r="P212" s="296"/>
      <c r="T212" s="292"/>
    </row>
    <row r="213" ht="12.75" customHeight="1">
      <c r="D213" s="293"/>
      <c r="E213" s="107"/>
      <c r="F213" s="294"/>
      <c r="G213" s="295"/>
      <c r="J213" s="296"/>
      <c r="K213" s="295"/>
      <c r="M213" s="296"/>
      <c r="N213" s="295"/>
      <c r="P213" s="296"/>
      <c r="T213" s="292"/>
    </row>
    <row r="214" ht="12.75" customHeight="1">
      <c r="D214" s="293"/>
      <c r="E214" s="107"/>
      <c r="F214" s="294"/>
      <c r="G214" s="295"/>
      <c r="J214" s="296"/>
      <c r="K214" s="295"/>
      <c r="M214" s="296"/>
      <c r="N214" s="295"/>
      <c r="P214" s="296"/>
      <c r="T214" s="292"/>
    </row>
    <row r="215" ht="12.75" customHeight="1">
      <c r="D215" s="293"/>
      <c r="E215" s="107"/>
      <c r="F215" s="294"/>
      <c r="G215" s="295"/>
      <c r="J215" s="296"/>
      <c r="K215" s="295"/>
      <c r="M215" s="296"/>
      <c r="N215" s="295"/>
      <c r="P215" s="296"/>
      <c r="T215" s="292"/>
    </row>
    <row r="216" ht="12.75" customHeight="1">
      <c r="D216" s="293"/>
      <c r="E216" s="107"/>
      <c r="F216" s="294"/>
      <c r="G216" s="295"/>
      <c r="J216" s="296"/>
      <c r="K216" s="295"/>
      <c r="M216" s="296"/>
      <c r="N216" s="295"/>
      <c r="P216" s="296"/>
      <c r="T216" s="292"/>
    </row>
    <row r="217" ht="12.75" customHeight="1">
      <c r="D217" s="293"/>
      <c r="E217" s="107"/>
      <c r="F217" s="294"/>
      <c r="G217" s="295"/>
      <c r="J217" s="296"/>
      <c r="K217" s="295"/>
      <c r="M217" s="296"/>
      <c r="N217" s="295"/>
      <c r="P217" s="296"/>
      <c r="T217" s="292"/>
    </row>
    <row r="218" ht="12.75" customHeight="1">
      <c r="D218" s="293"/>
      <c r="E218" s="107"/>
      <c r="F218" s="294"/>
      <c r="G218" s="295"/>
      <c r="J218" s="296"/>
      <c r="K218" s="295"/>
      <c r="M218" s="296"/>
      <c r="N218" s="295"/>
      <c r="P218" s="296"/>
      <c r="T218" s="292"/>
    </row>
    <row r="219" ht="12.75" customHeight="1">
      <c r="D219" s="293"/>
      <c r="E219" s="107"/>
      <c r="F219" s="294"/>
      <c r="G219" s="295"/>
      <c r="J219" s="296"/>
      <c r="K219" s="295"/>
      <c r="M219" s="296"/>
      <c r="N219" s="295"/>
      <c r="P219" s="296"/>
      <c r="T219" s="292"/>
    </row>
    <row r="220" ht="12.75" customHeight="1">
      <c r="D220" s="293"/>
      <c r="E220" s="107"/>
      <c r="F220" s="294"/>
      <c r="G220" s="295"/>
      <c r="J220" s="296"/>
      <c r="K220" s="295"/>
      <c r="M220" s="296"/>
      <c r="N220" s="295"/>
      <c r="P220" s="296"/>
      <c r="T220" s="292"/>
    </row>
    <row r="221" ht="12.75" customHeight="1">
      <c r="D221" s="293"/>
      <c r="E221" s="107"/>
      <c r="F221" s="294"/>
      <c r="G221" s="295"/>
      <c r="J221" s="296"/>
      <c r="K221" s="295"/>
      <c r="M221" s="296"/>
      <c r="N221" s="295"/>
      <c r="P221" s="296"/>
      <c r="T221" s="292"/>
    </row>
    <row r="222" ht="12.75" customHeight="1">
      <c r="D222" s="293"/>
      <c r="E222" s="107"/>
      <c r="F222" s="294"/>
      <c r="G222" s="295"/>
      <c r="J222" s="296"/>
      <c r="K222" s="295"/>
      <c r="M222" s="296"/>
      <c r="N222" s="295"/>
      <c r="P222" s="296"/>
      <c r="T222" s="292"/>
    </row>
    <row r="223" ht="12.75" customHeight="1">
      <c r="D223" s="293"/>
      <c r="E223" s="107"/>
      <c r="F223" s="294"/>
      <c r="G223" s="295"/>
      <c r="J223" s="296"/>
      <c r="K223" s="295"/>
      <c r="M223" s="296"/>
      <c r="N223" s="295"/>
      <c r="P223" s="296"/>
      <c r="T223" s="292"/>
    </row>
    <row r="224" ht="12.75" customHeight="1">
      <c r="D224" s="293"/>
      <c r="E224" s="107"/>
      <c r="F224" s="294"/>
      <c r="G224" s="295"/>
      <c r="J224" s="296"/>
      <c r="K224" s="295"/>
      <c r="M224" s="296"/>
      <c r="N224" s="295"/>
      <c r="P224" s="296"/>
      <c r="T224" s="292"/>
    </row>
    <row r="225" ht="12.75" customHeight="1">
      <c r="D225" s="293"/>
      <c r="E225" s="107"/>
      <c r="F225" s="294"/>
      <c r="G225" s="295"/>
      <c r="J225" s="296"/>
      <c r="K225" s="295"/>
      <c r="M225" s="296"/>
      <c r="N225" s="295"/>
      <c r="P225" s="296"/>
      <c r="T225" s="292"/>
    </row>
    <row r="226" ht="12.75" customHeight="1">
      <c r="D226" s="293"/>
      <c r="E226" s="107"/>
      <c r="F226" s="294"/>
      <c r="G226" s="295"/>
      <c r="J226" s="296"/>
      <c r="K226" s="295"/>
      <c r="M226" s="296"/>
      <c r="N226" s="295"/>
      <c r="P226" s="296"/>
      <c r="T226" s="292"/>
    </row>
    <row r="227" ht="12.75" customHeight="1">
      <c r="D227" s="293"/>
      <c r="E227" s="107"/>
      <c r="F227" s="294"/>
      <c r="G227" s="295"/>
      <c r="J227" s="296"/>
      <c r="K227" s="295"/>
      <c r="M227" s="296"/>
      <c r="N227" s="295"/>
      <c r="P227" s="296"/>
      <c r="T227" s="292"/>
    </row>
    <row r="228" ht="12.75" customHeight="1">
      <c r="D228" s="293"/>
      <c r="E228" s="107"/>
      <c r="F228" s="294"/>
      <c r="G228" s="295"/>
      <c r="J228" s="296"/>
      <c r="K228" s="295"/>
      <c r="M228" s="296"/>
      <c r="N228" s="295"/>
      <c r="P228" s="296"/>
      <c r="T228" s="292"/>
    </row>
    <row r="229" ht="12.75" customHeight="1">
      <c r="D229" s="293"/>
      <c r="E229" s="107"/>
      <c r="F229" s="294"/>
      <c r="G229" s="295"/>
      <c r="J229" s="296"/>
      <c r="K229" s="295"/>
      <c r="M229" s="296"/>
      <c r="N229" s="295"/>
      <c r="P229" s="296"/>
      <c r="T229" s="292"/>
    </row>
    <row r="230" ht="12.75" customHeight="1">
      <c r="D230" s="293"/>
      <c r="E230" s="107"/>
      <c r="F230" s="294"/>
      <c r="G230" s="295"/>
      <c r="J230" s="296"/>
      <c r="K230" s="295"/>
      <c r="M230" s="296"/>
      <c r="N230" s="295"/>
      <c r="P230" s="296"/>
      <c r="T230" s="292"/>
    </row>
    <row r="231" ht="12.75" customHeight="1">
      <c r="D231" s="293"/>
      <c r="E231" s="107"/>
      <c r="F231" s="294"/>
      <c r="G231" s="295"/>
      <c r="J231" s="296"/>
      <c r="K231" s="295"/>
      <c r="M231" s="296"/>
      <c r="N231" s="295"/>
      <c r="P231" s="296"/>
      <c r="T231" s="292"/>
    </row>
    <row r="232" ht="12.75" customHeight="1">
      <c r="D232" s="293"/>
      <c r="E232" s="107"/>
      <c r="F232" s="294"/>
      <c r="G232" s="295"/>
      <c r="J232" s="296"/>
      <c r="K232" s="295"/>
      <c r="M232" s="296"/>
      <c r="N232" s="295"/>
      <c r="P232" s="296"/>
      <c r="T232" s="292"/>
    </row>
    <row r="233" ht="12.75" customHeight="1">
      <c r="D233" s="293"/>
      <c r="E233" s="107"/>
      <c r="F233" s="294"/>
      <c r="G233" s="295"/>
      <c r="J233" s="296"/>
      <c r="K233" s="295"/>
      <c r="M233" s="296"/>
      <c r="N233" s="295"/>
      <c r="P233" s="296"/>
      <c r="T233" s="292"/>
    </row>
    <row r="234" ht="12.75" customHeight="1">
      <c r="D234" s="293"/>
      <c r="E234" s="107"/>
      <c r="F234" s="294"/>
      <c r="G234" s="295"/>
      <c r="J234" s="296"/>
      <c r="K234" s="295"/>
      <c r="M234" s="296"/>
      <c r="N234" s="295"/>
      <c r="P234" s="296"/>
      <c r="T234" s="292"/>
    </row>
    <row r="235" ht="12.75" customHeight="1">
      <c r="D235" s="293"/>
      <c r="E235" s="107"/>
      <c r="F235" s="294"/>
      <c r="G235" s="295"/>
      <c r="J235" s="296"/>
      <c r="K235" s="295"/>
      <c r="M235" s="296"/>
      <c r="N235" s="295"/>
      <c r="P235" s="296"/>
      <c r="T235" s="292"/>
    </row>
    <row r="236" ht="12.75" customHeight="1">
      <c r="D236" s="293"/>
      <c r="E236" s="107"/>
      <c r="F236" s="294"/>
      <c r="G236" s="295"/>
      <c r="J236" s="296"/>
      <c r="K236" s="295"/>
      <c r="M236" s="296"/>
      <c r="N236" s="295"/>
      <c r="P236" s="296"/>
      <c r="T236" s="292"/>
    </row>
    <row r="237" ht="12.75" customHeight="1">
      <c r="D237" s="293"/>
      <c r="E237" s="107"/>
      <c r="F237" s="294"/>
      <c r="G237" s="295"/>
      <c r="J237" s="296"/>
      <c r="K237" s="295"/>
      <c r="M237" s="296"/>
      <c r="N237" s="295"/>
      <c r="P237" s="296"/>
      <c r="T237" s="292"/>
    </row>
    <row r="238" ht="12.75" customHeight="1">
      <c r="D238" s="293"/>
      <c r="E238" s="107"/>
      <c r="F238" s="294"/>
      <c r="G238" s="295"/>
      <c r="J238" s="296"/>
      <c r="K238" s="295"/>
      <c r="M238" s="296"/>
      <c r="N238" s="295"/>
      <c r="P238" s="296"/>
      <c r="T238" s="292"/>
    </row>
    <row r="239" ht="12.75" customHeight="1">
      <c r="D239" s="293"/>
      <c r="E239" s="107"/>
      <c r="F239" s="294"/>
      <c r="G239" s="295"/>
      <c r="J239" s="296"/>
      <c r="K239" s="295"/>
      <c r="M239" s="296"/>
      <c r="N239" s="295"/>
      <c r="P239" s="296"/>
      <c r="T239" s="292"/>
    </row>
    <row r="240" ht="12.75" customHeight="1">
      <c r="D240" s="293"/>
      <c r="E240" s="107"/>
      <c r="F240" s="294"/>
      <c r="G240" s="295"/>
      <c r="J240" s="296"/>
      <c r="K240" s="295"/>
      <c r="M240" s="296"/>
      <c r="N240" s="295"/>
      <c r="P240" s="296"/>
      <c r="T240" s="292"/>
    </row>
    <row r="241" ht="12.75" customHeight="1">
      <c r="D241" s="293"/>
      <c r="E241" s="107"/>
      <c r="F241" s="294"/>
      <c r="G241" s="295"/>
      <c r="J241" s="296"/>
      <c r="K241" s="295"/>
      <c r="M241" s="296"/>
      <c r="N241" s="295"/>
      <c r="P241" s="296"/>
      <c r="T241" s="292"/>
    </row>
    <row r="242" ht="12.75" customHeight="1">
      <c r="D242" s="293"/>
      <c r="E242" s="107"/>
      <c r="F242" s="294"/>
      <c r="G242" s="295"/>
      <c r="J242" s="296"/>
      <c r="K242" s="295"/>
      <c r="M242" s="296"/>
      <c r="N242" s="295"/>
      <c r="P242" s="296"/>
      <c r="T242" s="292"/>
    </row>
    <row r="243" ht="12.75" customHeight="1">
      <c r="D243" s="293"/>
      <c r="E243" s="107"/>
      <c r="F243" s="294"/>
      <c r="G243" s="295"/>
      <c r="J243" s="296"/>
      <c r="K243" s="295"/>
      <c r="M243" s="296"/>
      <c r="N243" s="295"/>
      <c r="P243" s="296"/>
      <c r="T243" s="292"/>
    </row>
    <row r="244" ht="12.75" customHeight="1">
      <c r="D244" s="293"/>
      <c r="E244" s="107"/>
      <c r="F244" s="294"/>
      <c r="G244" s="295"/>
      <c r="J244" s="296"/>
      <c r="K244" s="295"/>
      <c r="M244" s="296"/>
      <c r="N244" s="295"/>
      <c r="P244" s="296"/>
      <c r="T244" s="292"/>
    </row>
    <row r="245" ht="12.75" customHeight="1">
      <c r="D245" s="293"/>
      <c r="E245" s="107"/>
      <c r="F245" s="294"/>
      <c r="G245" s="295"/>
      <c r="J245" s="296"/>
      <c r="K245" s="295"/>
      <c r="M245" s="296"/>
      <c r="N245" s="295"/>
      <c r="P245" s="296"/>
      <c r="T245" s="292"/>
    </row>
    <row r="246" ht="12.75" customHeight="1">
      <c r="D246" s="293"/>
      <c r="E246" s="107"/>
      <c r="F246" s="294"/>
      <c r="G246" s="295"/>
      <c r="J246" s="296"/>
      <c r="K246" s="295"/>
      <c r="M246" s="296"/>
      <c r="N246" s="295"/>
      <c r="P246" s="296"/>
      <c r="T246" s="292"/>
    </row>
    <row r="247" ht="12.75" customHeight="1">
      <c r="D247" s="293"/>
      <c r="E247" s="107"/>
      <c r="F247" s="294"/>
      <c r="G247" s="295"/>
      <c r="J247" s="296"/>
      <c r="K247" s="295"/>
      <c r="M247" s="296"/>
      <c r="N247" s="295"/>
      <c r="P247" s="296"/>
      <c r="T247" s="292"/>
    </row>
    <row r="248" ht="12.75" customHeight="1">
      <c r="D248" s="293"/>
      <c r="E248" s="107"/>
      <c r="F248" s="294"/>
      <c r="G248" s="295"/>
      <c r="J248" s="296"/>
      <c r="K248" s="295"/>
      <c r="M248" s="296"/>
      <c r="N248" s="295"/>
      <c r="P248" s="296"/>
      <c r="T248" s="292"/>
    </row>
    <row r="249" ht="12.75" customHeight="1">
      <c r="D249" s="293"/>
      <c r="E249" s="107"/>
      <c r="F249" s="294"/>
      <c r="G249" s="295"/>
      <c r="J249" s="296"/>
      <c r="K249" s="295"/>
      <c r="M249" s="296"/>
      <c r="N249" s="295"/>
      <c r="P249" s="296"/>
      <c r="T249" s="292"/>
    </row>
    <row r="250" ht="12.75" customHeight="1">
      <c r="D250" s="293"/>
      <c r="E250" s="107"/>
      <c r="F250" s="294"/>
      <c r="G250" s="295"/>
      <c r="J250" s="296"/>
      <c r="K250" s="295"/>
      <c r="M250" s="296"/>
      <c r="N250" s="295"/>
      <c r="P250" s="296"/>
      <c r="T250" s="292"/>
    </row>
    <row r="251" ht="12.75" customHeight="1">
      <c r="D251" s="293"/>
      <c r="E251" s="107"/>
      <c r="F251" s="294"/>
      <c r="G251" s="295"/>
      <c r="J251" s="296"/>
      <c r="K251" s="295"/>
      <c r="M251" s="296"/>
      <c r="N251" s="295"/>
      <c r="P251" s="296"/>
      <c r="T251" s="292"/>
    </row>
    <row r="252" ht="12.75" customHeight="1">
      <c r="D252" s="293"/>
      <c r="E252" s="107"/>
      <c r="F252" s="294"/>
      <c r="G252" s="295"/>
      <c r="J252" s="296"/>
      <c r="K252" s="295"/>
      <c r="M252" s="296"/>
      <c r="N252" s="295"/>
      <c r="P252" s="296"/>
      <c r="T252" s="292"/>
    </row>
    <row r="253" ht="12.75" customHeight="1">
      <c r="D253" s="293"/>
      <c r="E253" s="107"/>
      <c r="F253" s="294"/>
      <c r="G253" s="295"/>
      <c r="J253" s="296"/>
      <c r="K253" s="295"/>
      <c r="M253" s="296"/>
      <c r="N253" s="295"/>
      <c r="P253" s="296"/>
      <c r="T253" s="292"/>
    </row>
    <row r="254" ht="12.75" customHeight="1">
      <c r="D254" s="293"/>
      <c r="E254" s="107"/>
      <c r="F254" s="294"/>
      <c r="G254" s="295"/>
      <c r="J254" s="296"/>
      <c r="K254" s="295"/>
      <c r="M254" s="296"/>
      <c r="N254" s="295"/>
      <c r="P254" s="296"/>
      <c r="T254" s="292"/>
    </row>
    <row r="255" ht="12.75" customHeight="1">
      <c r="D255" s="293"/>
      <c r="E255" s="107"/>
      <c r="F255" s="294"/>
      <c r="G255" s="295"/>
      <c r="J255" s="296"/>
      <c r="K255" s="295"/>
      <c r="M255" s="296"/>
      <c r="N255" s="295"/>
      <c r="P255" s="296"/>
      <c r="T255" s="292"/>
    </row>
    <row r="256" ht="12.75" customHeight="1">
      <c r="D256" s="293"/>
      <c r="E256" s="107"/>
      <c r="F256" s="294"/>
      <c r="G256" s="295"/>
      <c r="J256" s="296"/>
      <c r="K256" s="295"/>
      <c r="M256" s="296"/>
      <c r="N256" s="295"/>
      <c r="P256" s="296"/>
      <c r="T256" s="292"/>
    </row>
    <row r="257" ht="12.75" customHeight="1">
      <c r="D257" s="293"/>
      <c r="E257" s="107"/>
      <c r="F257" s="294"/>
      <c r="G257" s="295"/>
      <c r="J257" s="296"/>
      <c r="K257" s="295"/>
      <c r="M257" s="296"/>
      <c r="N257" s="295"/>
      <c r="P257" s="296"/>
      <c r="T257" s="292"/>
    </row>
    <row r="258" ht="12.75" customHeight="1">
      <c r="D258" s="293"/>
      <c r="E258" s="107"/>
      <c r="F258" s="294"/>
      <c r="G258" s="295"/>
      <c r="J258" s="296"/>
      <c r="K258" s="295"/>
      <c r="M258" s="296"/>
      <c r="N258" s="295"/>
      <c r="P258" s="296"/>
      <c r="T258" s="292"/>
    </row>
    <row r="259" ht="12.75" customHeight="1">
      <c r="D259" s="293"/>
      <c r="E259" s="107"/>
      <c r="F259" s="294"/>
      <c r="G259" s="295"/>
      <c r="J259" s="296"/>
      <c r="K259" s="295"/>
      <c r="M259" s="296"/>
      <c r="N259" s="295"/>
      <c r="P259" s="296"/>
      <c r="T259" s="292"/>
    </row>
    <row r="260" ht="12.75" customHeight="1">
      <c r="D260" s="293"/>
      <c r="E260" s="107"/>
      <c r="F260" s="294"/>
      <c r="G260" s="295"/>
      <c r="J260" s="296"/>
      <c r="K260" s="295"/>
      <c r="M260" s="296"/>
      <c r="N260" s="295"/>
      <c r="P260" s="296"/>
      <c r="T260" s="292"/>
    </row>
    <row r="261" ht="12.75" customHeight="1">
      <c r="D261" s="293"/>
      <c r="E261" s="107"/>
      <c r="F261" s="294"/>
      <c r="G261" s="295"/>
      <c r="J261" s="296"/>
      <c r="K261" s="295"/>
      <c r="M261" s="296"/>
      <c r="N261" s="295"/>
      <c r="P261" s="296"/>
      <c r="T261" s="292"/>
    </row>
    <row r="262" ht="12.75" customHeight="1">
      <c r="D262" s="293"/>
      <c r="E262" s="107"/>
      <c r="F262" s="294"/>
      <c r="G262" s="295"/>
      <c r="J262" s="296"/>
      <c r="K262" s="295"/>
      <c r="M262" s="296"/>
      <c r="N262" s="295"/>
      <c r="P262" s="296"/>
      <c r="T262" s="292"/>
    </row>
    <row r="263" ht="12.75" customHeight="1">
      <c r="D263" s="293"/>
      <c r="E263" s="107"/>
      <c r="F263" s="294"/>
      <c r="G263" s="295"/>
      <c r="J263" s="296"/>
      <c r="K263" s="295"/>
      <c r="M263" s="296"/>
      <c r="N263" s="295"/>
      <c r="P263" s="296"/>
      <c r="T263" s="292"/>
    </row>
    <row r="264" ht="12.75" customHeight="1">
      <c r="D264" s="293"/>
      <c r="E264" s="107"/>
      <c r="F264" s="294"/>
      <c r="G264" s="295"/>
      <c r="J264" s="296"/>
      <c r="K264" s="295"/>
      <c r="M264" s="296"/>
      <c r="N264" s="295"/>
      <c r="P264" s="296"/>
      <c r="T264" s="292"/>
    </row>
    <row r="265" ht="12.75" customHeight="1">
      <c r="D265" s="293"/>
      <c r="E265" s="107"/>
      <c r="F265" s="294"/>
      <c r="G265" s="295"/>
      <c r="J265" s="296"/>
      <c r="K265" s="295"/>
      <c r="M265" s="296"/>
      <c r="N265" s="295"/>
      <c r="P265" s="296"/>
      <c r="T265" s="292"/>
    </row>
    <row r="266" ht="12.75" customHeight="1">
      <c r="D266" s="293"/>
      <c r="E266" s="107"/>
      <c r="F266" s="294"/>
      <c r="G266" s="295"/>
      <c r="J266" s="296"/>
      <c r="K266" s="295"/>
      <c r="M266" s="296"/>
      <c r="N266" s="295"/>
      <c r="P266" s="296"/>
      <c r="T266" s="292"/>
    </row>
    <row r="267" ht="12.75" customHeight="1">
      <c r="D267" s="293"/>
      <c r="E267" s="107"/>
      <c r="F267" s="294"/>
      <c r="G267" s="295"/>
      <c r="J267" s="296"/>
      <c r="K267" s="295"/>
      <c r="M267" s="296"/>
      <c r="N267" s="295"/>
      <c r="P267" s="296"/>
      <c r="T267" s="292"/>
    </row>
    <row r="268" ht="12.75" customHeight="1">
      <c r="D268" s="293"/>
      <c r="E268" s="107"/>
      <c r="F268" s="294"/>
      <c r="G268" s="295"/>
      <c r="J268" s="296"/>
      <c r="K268" s="295"/>
      <c r="M268" s="296"/>
      <c r="N268" s="295"/>
      <c r="P268" s="296"/>
      <c r="T268" s="292"/>
    </row>
    <row r="269" ht="12.75" customHeight="1">
      <c r="D269" s="293"/>
      <c r="E269" s="107"/>
      <c r="F269" s="294"/>
      <c r="G269" s="295"/>
      <c r="J269" s="296"/>
      <c r="K269" s="295"/>
      <c r="M269" s="296"/>
      <c r="N269" s="295"/>
      <c r="P269" s="296"/>
      <c r="T269" s="292"/>
    </row>
    <row r="270" ht="12.75" customHeight="1">
      <c r="D270" s="293"/>
      <c r="E270" s="107"/>
      <c r="F270" s="294"/>
      <c r="G270" s="295"/>
      <c r="J270" s="296"/>
      <c r="K270" s="295"/>
      <c r="M270" s="296"/>
      <c r="N270" s="295"/>
      <c r="P270" s="296"/>
      <c r="T270" s="292"/>
    </row>
    <row r="271" ht="12.75" customHeight="1">
      <c r="D271" s="293"/>
      <c r="E271" s="107"/>
      <c r="F271" s="294"/>
      <c r="G271" s="295"/>
      <c r="J271" s="296"/>
      <c r="K271" s="295"/>
      <c r="M271" s="296"/>
      <c r="N271" s="295"/>
      <c r="P271" s="296"/>
      <c r="T271" s="292"/>
    </row>
    <row r="272" ht="12.75" customHeight="1">
      <c r="D272" s="293"/>
      <c r="E272" s="107"/>
      <c r="F272" s="294"/>
      <c r="G272" s="295"/>
      <c r="J272" s="296"/>
      <c r="K272" s="295"/>
      <c r="M272" s="296"/>
      <c r="N272" s="295"/>
      <c r="P272" s="296"/>
      <c r="T272" s="292"/>
    </row>
    <row r="273" ht="12.75" customHeight="1">
      <c r="D273" s="293"/>
      <c r="E273" s="107"/>
      <c r="F273" s="294"/>
      <c r="G273" s="295"/>
      <c r="J273" s="296"/>
      <c r="K273" s="295"/>
      <c r="M273" s="296"/>
      <c r="N273" s="295"/>
      <c r="P273" s="296"/>
      <c r="T273" s="292"/>
    </row>
    <row r="274" ht="12.75" customHeight="1">
      <c r="D274" s="293"/>
      <c r="E274" s="107"/>
      <c r="F274" s="294"/>
      <c r="G274" s="295"/>
      <c r="J274" s="296"/>
      <c r="K274" s="295"/>
      <c r="M274" s="296"/>
      <c r="N274" s="295"/>
      <c r="P274" s="296"/>
      <c r="T274" s="292"/>
    </row>
    <row r="275" ht="12.75" customHeight="1">
      <c r="D275" s="293"/>
      <c r="E275" s="107"/>
      <c r="F275" s="294"/>
      <c r="G275" s="295"/>
      <c r="J275" s="296"/>
      <c r="K275" s="295"/>
      <c r="M275" s="296"/>
      <c r="N275" s="295"/>
      <c r="P275" s="296"/>
      <c r="T275" s="292"/>
    </row>
    <row r="276" ht="12.75" customHeight="1">
      <c r="D276" s="293"/>
      <c r="E276" s="107"/>
      <c r="F276" s="294"/>
      <c r="G276" s="295"/>
      <c r="J276" s="296"/>
      <c r="K276" s="295"/>
      <c r="M276" s="296"/>
      <c r="N276" s="295"/>
      <c r="P276" s="296"/>
      <c r="T276" s="292"/>
    </row>
    <row r="277" ht="12.75" customHeight="1">
      <c r="D277" s="293"/>
      <c r="E277" s="107"/>
      <c r="F277" s="294"/>
      <c r="G277" s="295"/>
      <c r="J277" s="296"/>
      <c r="K277" s="295"/>
      <c r="M277" s="296"/>
      <c r="N277" s="295"/>
      <c r="P277" s="296"/>
      <c r="T277" s="292"/>
    </row>
    <row r="278" ht="12.75" customHeight="1">
      <c r="D278" s="293"/>
      <c r="E278" s="107"/>
      <c r="F278" s="294"/>
      <c r="G278" s="295"/>
      <c r="J278" s="296"/>
      <c r="K278" s="295"/>
      <c r="M278" s="296"/>
      <c r="N278" s="295"/>
      <c r="P278" s="296"/>
      <c r="T278" s="292"/>
    </row>
    <row r="279" ht="12.75" customHeight="1">
      <c r="D279" s="293"/>
      <c r="E279" s="107"/>
      <c r="F279" s="294"/>
      <c r="G279" s="295"/>
      <c r="J279" s="296"/>
      <c r="K279" s="295"/>
      <c r="M279" s="296"/>
      <c r="N279" s="295"/>
      <c r="P279" s="296"/>
      <c r="T279" s="292"/>
    </row>
    <row r="280" ht="12.75" customHeight="1">
      <c r="D280" s="293"/>
      <c r="E280" s="107"/>
      <c r="F280" s="294"/>
      <c r="G280" s="295"/>
      <c r="J280" s="296"/>
      <c r="K280" s="295"/>
      <c r="M280" s="296"/>
      <c r="N280" s="295"/>
      <c r="P280" s="296"/>
      <c r="T280" s="292"/>
    </row>
    <row r="281" ht="12.75" customHeight="1">
      <c r="D281" s="293"/>
      <c r="E281" s="107"/>
      <c r="F281" s="294"/>
      <c r="G281" s="295"/>
      <c r="J281" s="296"/>
      <c r="K281" s="295"/>
      <c r="M281" s="296"/>
      <c r="N281" s="295"/>
      <c r="P281" s="296"/>
      <c r="T281" s="292"/>
    </row>
    <row r="282" ht="12.75" customHeight="1">
      <c r="D282" s="293"/>
      <c r="E282" s="107"/>
      <c r="F282" s="294"/>
      <c r="G282" s="295"/>
      <c r="J282" s="296"/>
      <c r="K282" s="295"/>
      <c r="M282" s="296"/>
      <c r="N282" s="295"/>
      <c r="P282" s="296"/>
      <c r="T282" s="292"/>
    </row>
    <row r="283" ht="12.75" customHeight="1">
      <c r="D283" s="293"/>
      <c r="E283" s="107"/>
      <c r="F283" s="294"/>
      <c r="G283" s="295"/>
      <c r="J283" s="296"/>
      <c r="K283" s="295"/>
      <c r="M283" s="296"/>
      <c r="N283" s="295"/>
      <c r="P283" s="296"/>
      <c r="T283" s="292"/>
    </row>
    <row r="284" ht="12.75" customHeight="1">
      <c r="D284" s="293"/>
      <c r="E284" s="107"/>
      <c r="F284" s="294"/>
      <c r="G284" s="295"/>
      <c r="J284" s="296"/>
      <c r="K284" s="295"/>
      <c r="M284" s="296"/>
      <c r="N284" s="295"/>
      <c r="P284" s="296"/>
      <c r="T284" s="292"/>
    </row>
    <row r="285" ht="12.75" customHeight="1">
      <c r="D285" s="293"/>
      <c r="E285" s="107"/>
      <c r="F285" s="294"/>
      <c r="G285" s="295"/>
      <c r="J285" s="296"/>
      <c r="K285" s="295"/>
      <c r="M285" s="296"/>
      <c r="N285" s="295"/>
      <c r="P285" s="296"/>
      <c r="T285" s="292"/>
    </row>
    <row r="286" ht="12.75" customHeight="1">
      <c r="D286" s="293"/>
      <c r="E286" s="107"/>
      <c r="F286" s="294"/>
      <c r="G286" s="295"/>
      <c r="J286" s="296"/>
      <c r="K286" s="295"/>
      <c r="M286" s="296"/>
      <c r="N286" s="295"/>
      <c r="P286" s="296"/>
      <c r="T286" s="292"/>
    </row>
    <row r="287" ht="12.75" customHeight="1">
      <c r="D287" s="293"/>
      <c r="E287" s="107"/>
      <c r="F287" s="294"/>
      <c r="G287" s="295"/>
      <c r="J287" s="296"/>
      <c r="K287" s="295"/>
      <c r="M287" s="296"/>
      <c r="N287" s="295"/>
      <c r="P287" s="296"/>
      <c r="T287" s="292"/>
    </row>
    <row r="288" ht="12.75" customHeight="1">
      <c r="D288" s="293"/>
      <c r="E288" s="107"/>
      <c r="F288" s="294"/>
      <c r="G288" s="295"/>
      <c r="J288" s="296"/>
      <c r="K288" s="295"/>
      <c r="M288" s="296"/>
      <c r="N288" s="295"/>
      <c r="P288" s="296"/>
      <c r="T288" s="292"/>
    </row>
    <row r="289" ht="12.75" customHeight="1">
      <c r="D289" s="293"/>
      <c r="E289" s="107"/>
      <c r="F289" s="294"/>
      <c r="G289" s="295"/>
      <c r="J289" s="296"/>
      <c r="K289" s="295"/>
      <c r="M289" s="296"/>
      <c r="N289" s="295"/>
      <c r="P289" s="296"/>
      <c r="T289" s="292"/>
    </row>
    <row r="290" ht="12.75" customHeight="1">
      <c r="D290" s="293"/>
      <c r="E290" s="107"/>
      <c r="F290" s="294"/>
      <c r="G290" s="295"/>
      <c r="J290" s="296"/>
      <c r="K290" s="295"/>
      <c r="M290" s="296"/>
      <c r="N290" s="295"/>
      <c r="P290" s="296"/>
      <c r="T290" s="292"/>
    </row>
    <row r="291" ht="12.75" customHeight="1">
      <c r="D291" s="293"/>
      <c r="E291" s="107"/>
      <c r="F291" s="294"/>
      <c r="G291" s="295"/>
      <c r="J291" s="296"/>
      <c r="K291" s="295"/>
      <c r="M291" s="296"/>
      <c r="N291" s="295"/>
      <c r="P291" s="296"/>
      <c r="T291" s="292"/>
    </row>
    <row r="292" ht="12.75" customHeight="1">
      <c r="D292" s="293"/>
      <c r="E292" s="107"/>
      <c r="F292" s="294"/>
      <c r="G292" s="295"/>
      <c r="J292" s="296"/>
      <c r="K292" s="295"/>
      <c r="M292" s="296"/>
      <c r="N292" s="295"/>
      <c r="P292" s="296"/>
      <c r="T292" s="292"/>
    </row>
    <row r="293" ht="12.75" customHeight="1">
      <c r="D293" s="293"/>
      <c r="E293" s="107"/>
      <c r="F293" s="294"/>
      <c r="G293" s="295"/>
      <c r="J293" s="296"/>
      <c r="K293" s="295"/>
      <c r="M293" s="296"/>
      <c r="N293" s="295"/>
      <c r="P293" s="296"/>
      <c r="T293" s="292"/>
    </row>
    <row r="294" ht="12.75" customHeight="1">
      <c r="D294" s="293"/>
      <c r="E294" s="107"/>
      <c r="F294" s="294"/>
      <c r="G294" s="295"/>
      <c r="J294" s="296"/>
      <c r="K294" s="295"/>
      <c r="M294" s="296"/>
      <c r="N294" s="295"/>
      <c r="P294" s="296"/>
      <c r="T294" s="292"/>
    </row>
    <row r="295" ht="12.75" customHeight="1">
      <c r="D295" s="293"/>
      <c r="E295" s="107"/>
      <c r="F295" s="294"/>
      <c r="G295" s="295"/>
      <c r="J295" s="296"/>
      <c r="K295" s="295"/>
      <c r="M295" s="296"/>
      <c r="N295" s="295"/>
      <c r="P295" s="296"/>
      <c r="T295" s="292"/>
    </row>
    <row r="296" ht="12.75" customHeight="1">
      <c r="D296" s="293"/>
      <c r="E296" s="107"/>
      <c r="F296" s="294"/>
      <c r="G296" s="295"/>
      <c r="J296" s="296"/>
      <c r="K296" s="295"/>
      <c r="M296" s="296"/>
      <c r="N296" s="295"/>
      <c r="P296" s="296"/>
      <c r="T296" s="292"/>
    </row>
    <row r="297" ht="12.75" customHeight="1">
      <c r="D297" s="293"/>
      <c r="E297" s="107"/>
      <c r="F297" s="294"/>
      <c r="G297" s="295"/>
      <c r="J297" s="296"/>
      <c r="K297" s="295"/>
      <c r="M297" s="296"/>
      <c r="N297" s="295"/>
      <c r="P297" s="296"/>
      <c r="T297" s="292"/>
    </row>
    <row r="298" ht="12.75" customHeight="1">
      <c r="D298" s="293"/>
      <c r="E298" s="107"/>
      <c r="F298" s="294"/>
      <c r="G298" s="295"/>
      <c r="J298" s="296"/>
      <c r="K298" s="295"/>
      <c r="M298" s="296"/>
      <c r="N298" s="295"/>
      <c r="P298" s="296"/>
      <c r="T298" s="292"/>
    </row>
    <row r="299" ht="12.75" customHeight="1">
      <c r="D299" s="293"/>
      <c r="E299" s="107"/>
      <c r="F299" s="294"/>
      <c r="G299" s="295"/>
      <c r="J299" s="296"/>
      <c r="K299" s="295"/>
      <c r="M299" s="296"/>
      <c r="N299" s="295"/>
      <c r="P299" s="296"/>
      <c r="T299" s="292"/>
    </row>
    <row r="300" ht="12.75" customHeight="1">
      <c r="D300" s="293"/>
      <c r="E300" s="107"/>
      <c r="F300" s="294"/>
      <c r="G300" s="295"/>
      <c r="J300" s="296"/>
      <c r="K300" s="295"/>
      <c r="M300" s="296"/>
      <c r="N300" s="295"/>
      <c r="P300" s="296"/>
      <c r="T300" s="292"/>
    </row>
    <row r="301" ht="12.75" customHeight="1">
      <c r="D301" s="293"/>
      <c r="E301" s="107"/>
      <c r="F301" s="294"/>
      <c r="G301" s="295"/>
      <c r="J301" s="296"/>
      <c r="K301" s="295"/>
      <c r="M301" s="296"/>
      <c r="N301" s="295"/>
      <c r="P301" s="296"/>
      <c r="T301" s="292"/>
    </row>
    <row r="302" ht="12.75" customHeight="1">
      <c r="D302" s="293"/>
      <c r="E302" s="107"/>
      <c r="F302" s="294"/>
      <c r="G302" s="295"/>
      <c r="J302" s="296"/>
      <c r="K302" s="295"/>
      <c r="M302" s="296"/>
      <c r="N302" s="295"/>
      <c r="P302" s="296"/>
      <c r="T302" s="292"/>
    </row>
    <row r="303" ht="12.75" customHeight="1">
      <c r="D303" s="293"/>
      <c r="E303" s="107"/>
      <c r="F303" s="294"/>
      <c r="G303" s="295"/>
      <c r="J303" s="296"/>
      <c r="K303" s="295"/>
      <c r="M303" s="296"/>
      <c r="N303" s="295"/>
      <c r="P303" s="296"/>
      <c r="T303" s="292"/>
    </row>
    <row r="304" ht="12.75" customHeight="1">
      <c r="D304" s="293"/>
      <c r="E304" s="107"/>
      <c r="F304" s="294"/>
      <c r="G304" s="295"/>
      <c r="J304" s="296"/>
      <c r="K304" s="295"/>
      <c r="M304" s="296"/>
      <c r="N304" s="295"/>
      <c r="P304" s="296"/>
      <c r="T304" s="292"/>
    </row>
    <row r="305" ht="12.75" customHeight="1">
      <c r="D305" s="293"/>
      <c r="E305" s="107"/>
      <c r="F305" s="294"/>
      <c r="G305" s="295"/>
      <c r="J305" s="296"/>
      <c r="K305" s="295"/>
      <c r="M305" s="296"/>
      <c r="N305" s="295"/>
      <c r="P305" s="296"/>
      <c r="T305" s="292"/>
    </row>
    <row r="306" ht="12.75" customHeight="1">
      <c r="D306" s="293"/>
      <c r="E306" s="107"/>
      <c r="F306" s="294"/>
      <c r="G306" s="295"/>
      <c r="J306" s="296"/>
      <c r="K306" s="295"/>
      <c r="M306" s="296"/>
      <c r="N306" s="295"/>
      <c r="P306" s="296"/>
      <c r="T306" s="292"/>
    </row>
    <row r="307" ht="12.75" customHeight="1">
      <c r="D307" s="293"/>
      <c r="E307" s="107"/>
      <c r="F307" s="294"/>
      <c r="G307" s="295"/>
      <c r="J307" s="296"/>
      <c r="K307" s="295"/>
      <c r="M307" s="296"/>
      <c r="N307" s="295"/>
      <c r="P307" s="296"/>
      <c r="T307" s="292"/>
    </row>
    <row r="308" ht="12.75" customHeight="1">
      <c r="D308" s="293"/>
      <c r="E308" s="107"/>
      <c r="F308" s="294"/>
      <c r="G308" s="295"/>
      <c r="J308" s="296"/>
      <c r="K308" s="295"/>
      <c r="M308" s="296"/>
      <c r="N308" s="295"/>
      <c r="P308" s="296"/>
      <c r="T308" s="292"/>
    </row>
    <row r="309" ht="12.75" customHeight="1">
      <c r="D309" s="293"/>
      <c r="E309" s="107"/>
      <c r="F309" s="294"/>
      <c r="G309" s="295"/>
      <c r="J309" s="296"/>
      <c r="K309" s="295"/>
      <c r="M309" s="296"/>
      <c r="N309" s="295"/>
      <c r="P309" s="296"/>
      <c r="T309" s="292"/>
    </row>
    <row r="310" ht="12.75" customHeight="1">
      <c r="D310" s="293"/>
      <c r="E310" s="107"/>
      <c r="F310" s="294"/>
      <c r="G310" s="295"/>
      <c r="J310" s="296"/>
      <c r="K310" s="295"/>
      <c r="M310" s="296"/>
      <c r="N310" s="295"/>
      <c r="P310" s="296"/>
      <c r="T310" s="292"/>
    </row>
    <row r="311" ht="12.75" customHeight="1">
      <c r="D311" s="293"/>
      <c r="E311" s="107"/>
      <c r="F311" s="294"/>
      <c r="G311" s="295"/>
      <c r="J311" s="296"/>
      <c r="K311" s="295"/>
      <c r="M311" s="296"/>
      <c r="N311" s="295"/>
      <c r="P311" s="296"/>
      <c r="T311" s="292"/>
    </row>
    <row r="312" ht="12.75" customHeight="1">
      <c r="D312" s="293"/>
      <c r="E312" s="107"/>
      <c r="F312" s="294"/>
      <c r="G312" s="295"/>
      <c r="J312" s="296"/>
      <c r="K312" s="295"/>
      <c r="M312" s="296"/>
      <c r="N312" s="295"/>
      <c r="P312" s="296"/>
      <c r="T312" s="292"/>
    </row>
    <row r="313" ht="12.75" customHeight="1">
      <c r="D313" s="293"/>
      <c r="E313" s="107"/>
      <c r="F313" s="294"/>
      <c r="G313" s="295"/>
      <c r="J313" s="296"/>
      <c r="K313" s="295"/>
      <c r="M313" s="296"/>
      <c r="N313" s="295"/>
      <c r="P313" s="296"/>
      <c r="T313" s="292"/>
    </row>
    <row r="314" ht="12.75" customHeight="1">
      <c r="D314" s="293"/>
      <c r="E314" s="107"/>
      <c r="F314" s="294"/>
      <c r="G314" s="295"/>
      <c r="J314" s="296"/>
      <c r="K314" s="295"/>
      <c r="M314" s="296"/>
      <c r="N314" s="295"/>
      <c r="P314" s="296"/>
      <c r="T314" s="292"/>
    </row>
    <row r="315" ht="12.75" customHeight="1">
      <c r="D315" s="293"/>
      <c r="E315" s="107"/>
      <c r="F315" s="294"/>
      <c r="G315" s="295"/>
      <c r="J315" s="296"/>
      <c r="K315" s="295"/>
      <c r="M315" s="296"/>
      <c r="N315" s="295"/>
      <c r="P315" s="296"/>
      <c r="T315" s="292"/>
    </row>
    <row r="316" ht="12.75" customHeight="1">
      <c r="D316" s="293"/>
      <c r="E316" s="107"/>
      <c r="F316" s="294"/>
      <c r="G316" s="295"/>
      <c r="J316" s="296"/>
      <c r="K316" s="295"/>
      <c r="M316" s="296"/>
      <c r="N316" s="295"/>
      <c r="P316" s="296"/>
      <c r="T316" s="292"/>
    </row>
    <row r="317" ht="12.75" customHeight="1">
      <c r="D317" s="293"/>
      <c r="E317" s="107"/>
      <c r="F317" s="294"/>
      <c r="G317" s="295"/>
      <c r="J317" s="296"/>
      <c r="K317" s="295"/>
      <c r="M317" s="296"/>
      <c r="N317" s="295"/>
      <c r="P317" s="296"/>
      <c r="T317" s="292"/>
    </row>
    <row r="318" ht="12.75" customHeight="1">
      <c r="D318" s="293"/>
      <c r="E318" s="107"/>
      <c r="F318" s="294"/>
      <c r="G318" s="295"/>
      <c r="J318" s="296"/>
      <c r="K318" s="295"/>
      <c r="M318" s="296"/>
      <c r="N318" s="295"/>
      <c r="P318" s="296"/>
      <c r="T318" s="292"/>
    </row>
    <row r="319" ht="12.75" customHeight="1">
      <c r="D319" s="293"/>
      <c r="E319" s="107"/>
      <c r="F319" s="294"/>
      <c r="G319" s="295"/>
      <c r="J319" s="296"/>
      <c r="K319" s="295"/>
      <c r="M319" s="296"/>
      <c r="N319" s="295"/>
      <c r="P319" s="296"/>
      <c r="T319" s="292"/>
    </row>
    <row r="320" ht="12.75" customHeight="1">
      <c r="D320" s="293"/>
      <c r="E320" s="107"/>
      <c r="F320" s="294"/>
      <c r="G320" s="295"/>
      <c r="J320" s="296"/>
      <c r="K320" s="295"/>
      <c r="M320" s="296"/>
      <c r="N320" s="295"/>
      <c r="P320" s="296"/>
      <c r="T320" s="292"/>
    </row>
    <row r="321" ht="12.75" customHeight="1">
      <c r="D321" s="293"/>
      <c r="E321" s="107"/>
      <c r="F321" s="294"/>
      <c r="G321" s="295"/>
      <c r="J321" s="296"/>
      <c r="K321" s="295"/>
      <c r="M321" s="296"/>
      <c r="N321" s="295"/>
      <c r="P321" s="296"/>
      <c r="T321" s="292"/>
    </row>
    <row r="322" ht="12.75" customHeight="1">
      <c r="D322" s="293"/>
      <c r="E322" s="107"/>
      <c r="F322" s="294"/>
      <c r="G322" s="295"/>
      <c r="J322" s="296"/>
      <c r="K322" s="295"/>
      <c r="M322" s="296"/>
      <c r="N322" s="295"/>
      <c r="P322" s="296"/>
      <c r="T322" s="292"/>
    </row>
    <row r="323" ht="12.75" customHeight="1">
      <c r="D323" s="293"/>
      <c r="E323" s="107"/>
      <c r="F323" s="294"/>
      <c r="G323" s="295"/>
      <c r="J323" s="296"/>
      <c r="K323" s="295"/>
      <c r="M323" s="296"/>
      <c r="N323" s="295"/>
      <c r="P323" s="296"/>
      <c r="T323" s="292"/>
    </row>
    <row r="324" ht="12.75" customHeight="1">
      <c r="D324" s="293"/>
      <c r="E324" s="107"/>
      <c r="F324" s="294"/>
      <c r="G324" s="295"/>
      <c r="J324" s="296"/>
      <c r="K324" s="295"/>
      <c r="M324" s="296"/>
      <c r="N324" s="295"/>
      <c r="P324" s="296"/>
      <c r="T324" s="292"/>
    </row>
    <row r="325" ht="12.75" customHeight="1">
      <c r="D325" s="293"/>
      <c r="E325" s="107"/>
      <c r="F325" s="294"/>
      <c r="G325" s="295"/>
      <c r="J325" s="296"/>
      <c r="K325" s="295"/>
      <c r="M325" s="296"/>
      <c r="N325" s="295"/>
      <c r="P325" s="296"/>
      <c r="T325" s="292"/>
    </row>
    <row r="326" ht="12.75" customHeight="1">
      <c r="D326" s="293"/>
      <c r="E326" s="107"/>
      <c r="F326" s="294"/>
      <c r="G326" s="295"/>
      <c r="J326" s="296"/>
      <c r="K326" s="295"/>
      <c r="M326" s="296"/>
      <c r="N326" s="295"/>
      <c r="P326" s="296"/>
      <c r="T326" s="292"/>
    </row>
    <row r="327" ht="12.75" customHeight="1">
      <c r="D327" s="293"/>
      <c r="E327" s="107"/>
      <c r="F327" s="294"/>
      <c r="G327" s="295"/>
      <c r="J327" s="296"/>
      <c r="K327" s="295"/>
      <c r="M327" s="296"/>
      <c r="N327" s="295"/>
      <c r="P327" s="296"/>
      <c r="T327" s="292"/>
    </row>
    <row r="328" ht="12.75" customHeight="1">
      <c r="D328" s="293"/>
      <c r="E328" s="107"/>
      <c r="F328" s="294"/>
      <c r="G328" s="295"/>
      <c r="J328" s="296"/>
      <c r="K328" s="295"/>
      <c r="M328" s="296"/>
      <c r="N328" s="295"/>
      <c r="P328" s="296"/>
      <c r="T328" s="292"/>
    </row>
    <row r="329" ht="12.75" customHeight="1">
      <c r="D329" s="293"/>
      <c r="E329" s="107"/>
      <c r="F329" s="294"/>
      <c r="G329" s="295"/>
      <c r="J329" s="296"/>
      <c r="K329" s="295"/>
      <c r="M329" s="296"/>
      <c r="N329" s="295"/>
      <c r="P329" s="296"/>
      <c r="T329" s="292"/>
    </row>
    <row r="330" ht="12.75" customHeight="1">
      <c r="D330" s="293"/>
      <c r="E330" s="107"/>
      <c r="F330" s="294"/>
      <c r="G330" s="295"/>
      <c r="J330" s="296"/>
      <c r="K330" s="295"/>
      <c r="M330" s="296"/>
      <c r="N330" s="295"/>
      <c r="P330" s="296"/>
      <c r="T330" s="292"/>
    </row>
    <row r="331" ht="12.75" customHeight="1">
      <c r="D331" s="293"/>
      <c r="E331" s="107"/>
      <c r="F331" s="294"/>
      <c r="G331" s="295"/>
      <c r="J331" s="296"/>
      <c r="K331" s="295"/>
      <c r="M331" s="296"/>
      <c r="N331" s="295"/>
      <c r="P331" s="296"/>
      <c r="T331" s="292"/>
    </row>
    <row r="332" ht="12.75" customHeight="1">
      <c r="D332" s="293"/>
      <c r="E332" s="107"/>
      <c r="F332" s="294"/>
      <c r="G332" s="295"/>
      <c r="J332" s="296"/>
      <c r="K332" s="295"/>
      <c r="M332" s="296"/>
      <c r="N332" s="295"/>
      <c r="P332" s="296"/>
      <c r="T332" s="292"/>
    </row>
    <row r="333" ht="12.75" customHeight="1">
      <c r="D333" s="293"/>
      <c r="E333" s="107"/>
      <c r="F333" s="294"/>
      <c r="G333" s="295"/>
      <c r="J333" s="296"/>
      <c r="K333" s="295"/>
      <c r="M333" s="296"/>
      <c r="N333" s="295"/>
      <c r="P333" s="296"/>
      <c r="T333" s="292"/>
    </row>
    <row r="334" ht="12.75" customHeight="1">
      <c r="D334" s="293"/>
      <c r="E334" s="107"/>
      <c r="F334" s="294"/>
      <c r="G334" s="295"/>
      <c r="J334" s="296"/>
      <c r="K334" s="295"/>
      <c r="M334" s="296"/>
      <c r="N334" s="295"/>
      <c r="P334" s="296"/>
      <c r="T334" s="292"/>
    </row>
    <row r="335" ht="12.75" customHeight="1">
      <c r="D335" s="293"/>
      <c r="E335" s="107"/>
      <c r="F335" s="294"/>
      <c r="G335" s="295"/>
      <c r="J335" s="296"/>
      <c r="K335" s="295"/>
      <c r="M335" s="296"/>
      <c r="N335" s="295"/>
      <c r="P335" s="296"/>
      <c r="T335" s="292"/>
    </row>
    <row r="336" ht="12.75" customHeight="1">
      <c r="D336" s="293"/>
      <c r="E336" s="107"/>
      <c r="F336" s="294"/>
      <c r="G336" s="295"/>
      <c r="J336" s="296"/>
      <c r="K336" s="295"/>
      <c r="M336" s="296"/>
      <c r="N336" s="295"/>
      <c r="P336" s="296"/>
      <c r="T336" s="292"/>
    </row>
    <row r="337" ht="12.75" customHeight="1">
      <c r="D337" s="293"/>
      <c r="E337" s="107"/>
      <c r="F337" s="294"/>
      <c r="G337" s="295"/>
      <c r="J337" s="296"/>
      <c r="K337" s="295"/>
      <c r="M337" s="296"/>
      <c r="N337" s="295"/>
      <c r="P337" s="296"/>
      <c r="T337" s="292"/>
    </row>
    <row r="338" ht="12.75" customHeight="1">
      <c r="D338" s="293"/>
      <c r="E338" s="107"/>
      <c r="F338" s="294"/>
      <c r="G338" s="295"/>
      <c r="J338" s="296"/>
      <c r="K338" s="295"/>
      <c r="M338" s="296"/>
      <c r="N338" s="295"/>
      <c r="P338" s="296"/>
      <c r="T338" s="292"/>
    </row>
    <row r="339" ht="12.75" customHeight="1">
      <c r="D339" s="293"/>
      <c r="E339" s="107"/>
      <c r="F339" s="294"/>
      <c r="G339" s="295"/>
      <c r="J339" s="296"/>
      <c r="K339" s="295"/>
      <c r="M339" s="296"/>
      <c r="N339" s="295"/>
      <c r="P339" s="296"/>
      <c r="T339" s="292"/>
    </row>
    <row r="340" ht="12.75" customHeight="1">
      <c r="D340" s="293"/>
      <c r="E340" s="107"/>
      <c r="F340" s="294"/>
      <c r="G340" s="295"/>
      <c r="J340" s="296"/>
      <c r="K340" s="295"/>
      <c r="M340" s="296"/>
      <c r="N340" s="295"/>
      <c r="P340" s="296"/>
      <c r="T340" s="292"/>
    </row>
    <row r="341" ht="12.75" customHeight="1">
      <c r="D341" s="293"/>
      <c r="E341" s="107"/>
      <c r="F341" s="294"/>
      <c r="G341" s="295"/>
      <c r="J341" s="296"/>
      <c r="K341" s="295"/>
      <c r="M341" s="296"/>
      <c r="N341" s="295"/>
      <c r="P341" s="296"/>
      <c r="T341" s="292"/>
    </row>
    <row r="342" ht="12.75" customHeight="1">
      <c r="D342" s="293"/>
      <c r="E342" s="107"/>
      <c r="F342" s="294"/>
      <c r="G342" s="295"/>
      <c r="J342" s="296"/>
      <c r="K342" s="295"/>
      <c r="M342" s="296"/>
      <c r="N342" s="295"/>
      <c r="P342" s="296"/>
      <c r="T342" s="292"/>
    </row>
    <row r="343" ht="12.75" customHeight="1">
      <c r="D343" s="293"/>
      <c r="E343" s="107"/>
      <c r="F343" s="294"/>
      <c r="G343" s="295"/>
      <c r="J343" s="296"/>
      <c r="K343" s="295"/>
      <c r="M343" s="296"/>
      <c r="N343" s="295"/>
      <c r="P343" s="296"/>
      <c r="T343" s="292"/>
    </row>
    <row r="344" ht="12.75" customHeight="1">
      <c r="D344" s="293"/>
      <c r="E344" s="107"/>
      <c r="F344" s="294"/>
      <c r="G344" s="295"/>
      <c r="J344" s="296"/>
      <c r="K344" s="295"/>
      <c r="M344" s="296"/>
      <c r="N344" s="295"/>
      <c r="P344" s="296"/>
      <c r="T344" s="292"/>
    </row>
    <row r="345" ht="12.75" customHeight="1">
      <c r="D345" s="293"/>
      <c r="E345" s="107"/>
      <c r="F345" s="294"/>
      <c r="G345" s="295"/>
      <c r="J345" s="296"/>
      <c r="K345" s="295"/>
      <c r="M345" s="296"/>
      <c r="N345" s="295"/>
      <c r="P345" s="296"/>
      <c r="T345" s="292"/>
    </row>
    <row r="346" ht="12.75" customHeight="1">
      <c r="D346" s="293"/>
      <c r="E346" s="107"/>
      <c r="F346" s="294"/>
      <c r="G346" s="295"/>
      <c r="J346" s="296"/>
      <c r="K346" s="295"/>
      <c r="M346" s="296"/>
      <c r="N346" s="295"/>
      <c r="P346" s="296"/>
      <c r="T346" s="292"/>
    </row>
    <row r="347" ht="12.75" customHeight="1">
      <c r="D347" s="293"/>
      <c r="E347" s="107"/>
      <c r="F347" s="294"/>
      <c r="G347" s="295"/>
      <c r="J347" s="296"/>
      <c r="K347" s="295"/>
      <c r="M347" s="296"/>
      <c r="N347" s="295"/>
      <c r="P347" s="296"/>
      <c r="T347" s="292"/>
    </row>
    <row r="348" ht="12.75" customHeight="1">
      <c r="D348" s="293"/>
      <c r="E348" s="107"/>
      <c r="F348" s="294"/>
      <c r="G348" s="295"/>
      <c r="J348" s="296"/>
      <c r="K348" s="295"/>
      <c r="M348" s="296"/>
      <c r="N348" s="295"/>
      <c r="P348" s="296"/>
      <c r="T348" s="292"/>
    </row>
    <row r="349" ht="12.75" customHeight="1">
      <c r="D349" s="293"/>
      <c r="E349" s="107"/>
      <c r="F349" s="294"/>
      <c r="G349" s="295"/>
      <c r="J349" s="296"/>
      <c r="K349" s="295"/>
      <c r="M349" s="296"/>
      <c r="N349" s="295"/>
      <c r="P349" s="296"/>
      <c r="T349" s="292"/>
    </row>
    <row r="350" ht="12.75" customHeight="1">
      <c r="D350" s="293"/>
      <c r="E350" s="107"/>
      <c r="F350" s="294"/>
      <c r="G350" s="295"/>
      <c r="J350" s="296"/>
      <c r="K350" s="295"/>
      <c r="M350" s="296"/>
      <c r="N350" s="295"/>
      <c r="P350" s="296"/>
      <c r="T350" s="292"/>
    </row>
    <row r="351" ht="12.75" customHeight="1">
      <c r="D351" s="293"/>
      <c r="E351" s="107"/>
      <c r="F351" s="294"/>
      <c r="G351" s="295"/>
      <c r="J351" s="296"/>
      <c r="K351" s="295"/>
      <c r="M351" s="296"/>
      <c r="N351" s="295"/>
      <c r="P351" s="296"/>
      <c r="T351" s="292"/>
    </row>
    <row r="352" ht="12.75" customHeight="1">
      <c r="D352" s="293"/>
      <c r="E352" s="107"/>
      <c r="F352" s="294"/>
      <c r="G352" s="295"/>
      <c r="J352" s="296"/>
      <c r="K352" s="295"/>
      <c r="M352" s="296"/>
      <c r="N352" s="295"/>
      <c r="P352" s="296"/>
      <c r="T352" s="292"/>
    </row>
    <row r="353" ht="12.75" customHeight="1">
      <c r="D353" s="293"/>
      <c r="E353" s="107"/>
      <c r="F353" s="294"/>
      <c r="G353" s="295"/>
      <c r="J353" s="296"/>
      <c r="K353" s="295"/>
      <c r="M353" s="296"/>
      <c r="N353" s="295"/>
      <c r="P353" s="296"/>
      <c r="T353" s="292"/>
    </row>
    <row r="354" ht="12.75" customHeight="1">
      <c r="D354" s="293"/>
      <c r="E354" s="107"/>
      <c r="F354" s="294"/>
      <c r="G354" s="295"/>
      <c r="J354" s="296"/>
      <c r="K354" s="295"/>
      <c r="M354" s="296"/>
      <c r="N354" s="295"/>
      <c r="P354" s="296"/>
      <c r="T354" s="292"/>
    </row>
    <row r="355" ht="12.75" customHeight="1">
      <c r="D355" s="293"/>
      <c r="E355" s="107"/>
      <c r="F355" s="294"/>
      <c r="G355" s="295"/>
      <c r="J355" s="296"/>
      <c r="K355" s="295"/>
      <c r="M355" s="296"/>
      <c r="N355" s="295"/>
      <c r="P355" s="296"/>
      <c r="T355" s="292"/>
    </row>
    <row r="356" ht="12.75" customHeight="1">
      <c r="D356" s="293"/>
      <c r="E356" s="107"/>
      <c r="F356" s="294"/>
      <c r="G356" s="295"/>
      <c r="J356" s="296"/>
      <c r="K356" s="295"/>
      <c r="M356" s="296"/>
      <c r="N356" s="295"/>
      <c r="P356" s="296"/>
      <c r="T356" s="292"/>
    </row>
    <row r="357" ht="12.75" customHeight="1">
      <c r="D357" s="293"/>
      <c r="E357" s="107"/>
      <c r="F357" s="294"/>
      <c r="G357" s="295"/>
      <c r="J357" s="296"/>
      <c r="K357" s="295"/>
      <c r="M357" s="296"/>
      <c r="N357" s="295"/>
      <c r="P357" s="296"/>
      <c r="T357" s="292"/>
    </row>
    <row r="358" ht="12.75" customHeight="1">
      <c r="D358" s="293"/>
      <c r="E358" s="107"/>
      <c r="F358" s="294"/>
      <c r="G358" s="295"/>
      <c r="J358" s="296"/>
      <c r="K358" s="295"/>
      <c r="M358" s="296"/>
      <c r="N358" s="295"/>
      <c r="P358" s="296"/>
      <c r="T358" s="292"/>
    </row>
    <row r="359" ht="12.75" customHeight="1">
      <c r="D359" s="293"/>
      <c r="E359" s="107"/>
      <c r="F359" s="294"/>
      <c r="G359" s="295"/>
      <c r="J359" s="296"/>
      <c r="K359" s="295"/>
      <c r="M359" s="296"/>
      <c r="N359" s="295"/>
      <c r="P359" s="296"/>
      <c r="T359" s="292"/>
    </row>
    <row r="360" ht="12.75" customHeight="1">
      <c r="D360" s="293"/>
      <c r="E360" s="107"/>
      <c r="F360" s="294"/>
      <c r="G360" s="295"/>
      <c r="J360" s="296"/>
      <c r="K360" s="295"/>
      <c r="M360" s="296"/>
      <c r="N360" s="295"/>
      <c r="P360" s="296"/>
      <c r="T360" s="292"/>
    </row>
    <row r="361" ht="12.75" customHeight="1">
      <c r="D361" s="293"/>
      <c r="E361" s="107"/>
      <c r="F361" s="294"/>
      <c r="G361" s="295"/>
      <c r="J361" s="296"/>
      <c r="K361" s="295"/>
      <c r="M361" s="296"/>
      <c r="N361" s="295"/>
      <c r="P361" s="296"/>
      <c r="T361" s="292"/>
    </row>
    <row r="362" ht="12.75" customHeight="1">
      <c r="D362" s="293"/>
      <c r="E362" s="107"/>
      <c r="F362" s="294"/>
      <c r="G362" s="295"/>
      <c r="J362" s="296"/>
      <c r="K362" s="295"/>
      <c r="M362" s="296"/>
      <c r="N362" s="295"/>
      <c r="P362" s="296"/>
      <c r="T362" s="292"/>
    </row>
    <row r="363" ht="12.75" customHeight="1">
      <c r="D363" s="293"/>
      <c r="E363" s="107"/>
      <c r="F363" s="294"/>
      <c r="G363" s="295"/>
      <c r="J363" s="296"/>
      <c r="K363" s="295"/>
      <c r="M363" s="296"/>
      <c r="N363" s="295"/>
      <c r="P363" s="296"/>
      <c r="T363" s="292"/>
    </row>
    <row r="364" ht="12.75" customHeight="1">
      <c r="D364" s="293"/>
      <c r="E364" s="107"/>
      <c r="F364" s="294"/>
      <c r="G364" s="295"/>
      <c r="J364" s="296"/>
      <c r="K364" s="295"/>
      <c r="M364" s="296"/>
      <c r="N364" s="295"/>
      <c r="P364" s="296"/>
      <c r="T364" s="292"/>
    </row>
    <row r="365" ht="12.75" customHeight="1">
      <c r="D365" s="293"/>
      <c r="E365" s="107"/>
      <c r="F365" s="294"/>
      <c r="G365" s="295"/>
      <c r="J365" s="296"/>
      <c r="K365" s="295"/>
      <c r="M365" s="296"/>
      <c r="N365" s="295"/>
      <c r="P365" s="296"/>
      <c r="T365" s="292"/>
    </row>
    <row r="366" ht="12.75" customHeight="1">
      <c r="D366" s="293"/>
      <c r="E366" s="107"/>
      <c r="F366" s="294"/>
      <c r="G366" s="295"/>
      <c r="J366" s="296"/>
      <c r="K366" s="295"/>
      <c r="M366" s="296"/>
      <c r="N366" s="295"/>
      <c r="P366" s="296"/>
      <c r="T366" s="292"/>
    </row>
    <row r="367" ht="12.75" customHeight="1">
      <c r="D367" s="293"/>
      <c r="E367" s="107"/>
      <c r="F367" s="294"/>
      <c r="G367" s="295"/>
      <c r="J367" s="296"/>
      <c r="K367" s="295"/>
      <c r="M367" s="296"/>
      <c r="N367" s="295"/>
      <c r="P367" s="296"/>
      <c r="T367" s="292"/>
    </row>
    <row r="368" ht="12.75" customHeight="1">
      <c r="D368" s="293"/>
      <c r="E368" s="107"/>
      <c r="F368" s="294"/>
      <c r="G368" s="295"/>
      <c r="J368" s="296"/>
      <c r="K368" s="295"/>
      <c r="M368" s="296"/>
      <c r="N368" s="295"/>
      <c r="P368" s="296"/>
      <c r="T368" s="292"/>
    </row>
    <row r="369" ht="12.75" customHeight="1">
      <c r="D369" s="293"/>
      <c r="E369" s="107"/>
      <c r="F369" s="294"/>
      <c r="G369" s="295"/>
      <c r="J369" s="296"/>
      <c r="K369" s="295"/>
      <c r="M369" s="296"/>
      <c r="N369" s="295"/>
      <c r="P369" s="296"/>
      <c r="T369" s="292"/>
    </row>
    <row r="370" ht="12.75" customHeight="1">
      <c r="D370" s="293"/>
      <c r="E370" s="107"/>
      <c r="F370" s="294"/>
      <c r="G370" s="295"/>
      <c r="J370" s="296"/>
      <c r="K370" s="295"/>
      <c r="M370" s="296"/>
      <c r="N370" s="295"/>
      <c r="P370" s="296"/>
      <c r="T370" s="292"/>
    </row>
    <row r="371" ht="12.75" customHeight="1">
      <c r="D371" s="293"/>
      <c r="E371" s="107"/>
      <c r="F371" s="294"/>
      <c r="G371" s="295"/>
      <c r="J371" s="296"/>
      <c r="K371" s="295"/>
      <c r="M371" s="296"/>
      <c r="N371" s="295"/>
      <c r="P371" s="296"/>
      <c r="T371" s="292"/>
    </row>
    <row r="372" ht="12.75" customHeight="1">
      <c r="D372" s="293"/>
      <c r="E372" s="107"/>
      <c r="F372" s="294"/>
      <c r="G372" s="295"/>
      <c r="J372" s="296"/>
      <c r="K372" s="295"/>
      <c r="M372" s="296"/>
      <c r="N372" s="295"/>
      <c r="P372" s="296"/>
      <c r="T372" s="292"/>
    </row>
    <row r="373" ht="12.75" customHeight="1">
      <c r="D373" s="293"/>
      <c r="E373" s="107"/>
      <c r="F373" s="294"/>
      <c r="G373" s="295"/>
      <c r="J373" s="296"/>
      <c r="K373" s="295"/>
      <c r="M373" s="296"/>
      <c r="N373" s="295"/>
      <c r="P373" s="296"/>
      <c r="T373" s="292"/>
    </row>
    <row r="374" ht="12.75" customHeight="1">
      <c r="D374" s="293"/>
      <c r="E374" s="107"/>
      <c r="F374" s="294"/>
      <c r="G374" s="295"/>
      <c r="J374" s="296"/>
      <c r="K374" s="295"/>
      <c r="M374" s="296"/>
      <c r="N374" s="295"/>
      <c r="P374" s="296"/>
      <c r="T374" s="292"/>
    </row>
    <row r="375" ht="12.75" customHeight="1">
      <c r="D375" s="293"/>
      <c r="E375" s="107"/>
      <c r="F375" s="294"/>
      <c r="G375" s="295"/>
      <c r="J375" s="296"/>
      <c r="K375" s="295"/>
      <c r="M375" s="296"/>
      <c r="N375" s="295"/>
      <c r="P375" s="296"/>
      <c r="T375" s="292"/>
    </row>
    <row r="376" ht="12.75" customHeight="1">
      <c r="D376" s="293"/>
      <c r="E376" s="107"/>
      <c r="F376" s="294"/>
      <c r="G376" s="295"/>
      <c r="J376" s="296"/>
      <c r="K376" s="295"/>
      <c r="M376" s="296"/>
      <c r="N376" s="295"/>
      <c r="P376" s="296"/>
      <c r="T376" s="292"/>
    </row>
    <row r="377" ht="12.75" customHeight="1">
      <c r="D377" s="293"/>
      <c r="E377" s="107"/>
      <c r="F377" s="294"/>
      <c r="G377" s="295"/>
      <c r="J377" s="296"/>
      <c r="K377" s="295"/>
      <c r="M377" s="296"/>
      <c r="N377" s="295"/>
      <c r="P377" s="296"/>
      <c r="T377" s="292"/>
    </row>
    <row r="378" ht="12.75" customHeight="1">
      <c r="D378" s="293"/>
      <c r="E378" s="107"/>
      <c r="F378" s="294"/>
      <c r="G378" s="295"/>
      <c r="J378" s="296"/>
      <c r="K378" s="295"/>
      <c r="M378" s="296"/>
      <c r="N378" s="295"/>
      <c r="P378" s="296"/>
      <c r="T378" s="292"/>
    </row>
    <row r="379" ht="12.75" customHeight="1">
      <c r="D379" s="293"/>
      <c r="E379" s="107"/>
      <c r="F379" s="294"/>
      <c r="G379" s="295"/>
      <c r="J379" s="296"/>
      <c r="K379" s="295"/>
      <c r="M379" s="296"/>
      <c r="N379" s="295"/>
      <c r="P379" s="296"/>
      <c r="T379" s="292"/>
    </row>
    <row r="380" ht="12.75" customHeight="1">
      <c r="D380" s="293"/>
      <c r="E380" s="107"/>
      <c r="F380" s="294"/>
      <c r="G380" s="295"/>
      <c r="J380" s="296"/>
      <c r="K380" s="295"/>
      <c r="M380" s="296"/>
      <c r="N380" s="295"/>
      <c r="P380" s="296"/>
      <c r="T380" s="292"/>
    </row>
    <row r="381" ht="12.75" customHeight="1">
      <c r="D381" s="293"/>
      <c r="E381" s="107"/>
      <c r="F381" s="294"/>
      <c r="G381" s="295"/>
      <c r="J381" s="296"/>
      <c r="K381" s="295"/>
      <c r="M381" s="296"/>
      <c r="N381" s="295"/>
      <c r="P381" s="296"/>
      <c r="T381" s="292"/>
    </row>
    <row r="382" ht="12.75" customHeight="1">
      <c r="D382" s="293"/>
      <c r="E382" s="107"/>
      <c r="F382" s="294"/>
      <c r="G382" s="295"/>
      <c r="J382" s="296"/>
      <c r="K382" s="295"/>
      <c r="M382" s="296"/>
      <c r="N382" s="295"/>
      <c r="P382" s="296"/>
      <c r="T382" s="292"/>
    </row>
    <row r="383" ht="12.75" customHeight="1">
      <c r="D383" s="293"/>
      <c r="E383" s="107"/>
      <c r="F383" s="294"/>
      <c r="G383" s="295"/>
      <c r="J383" s="296"/>
      <c r="K383" s="295"/>
      <c r="M383" s="296"/>
      <c r="N383" s="295"/>
      <c r="P383" s="296"/>
      <c r="T383" s="292"/>
    </row>
    <row r="384" ht="12.75" customHeight="1">
      <c r="D384" s="293"/>
      <c r="E384" s="107"/>
      <c r="F384" s="294"/>
      <c r="G384" s="295"/>
      <c r="J384" s="296"/>
      <c r="K384" s="295"/>
      <c r="M384" s="296"/>
      <c r="N384" s="295"/>
      <c r="P384" s="296"/>
      <c r="T384" s="292"/>
    </row>
    <row r="385" ht="12.75" customHeight="1">
      <c r="D385" s="293"/>
      <c r="E385" s="107"/>
      <c r="F385" s="294"/>
      <c r="G385" s="295"/>
      <c r="J385" s="296"/>
      <c r="K385" s="295"/>
      <c r="M385" s="296"/>
      <c r="N385" s="295"/>
      <c r="P385" s="296"/>
      <c r="T385" s="292"/>
    </row>
    <row r="386" ht="12.75" customHeight="1">
      <c r="D386" s="293"/>
      <c r="E386" s="107"/>
      <c r="F386" s="294"/>
      <c r="G386" s="295"/>
      <c r="J386" s="296"/>
      <c r="K386" s="295"/>
      <c r="M386" s="296"/>
      <c r="N386" s="295"/>
      <c r="P386" s="296"/>
      <c r="T386" s="292"/>
    </row>
    <row r="387" ht="12.75" customHeight="1">
      <c r="D387" s="293"/>
      <c r="E387" s="107"/>
      <c r="F387" s="294"/>
      <c r="G387" s="295"/>
      <c r="J387" s="296"/>
      <c r="K387" s="295"/>
      <c r="M387" s="296"/>
      <c r="N387" s="295"/>
      <c r="P387" s="296"/>
      <c r="T387" s="292"/>
    </row>
    <row r="388" ht="12.75" customHeight="1">
      <c r="D388" s="293"/>
      <c r="E388" s="107"/>
      <c r="F388" s="294"/>
      <c r="G388" s="295"/>
      <c r="J388" s="296"/>
      <c r="K388" s="295"/>
      <c r="M388" s="296"/>
      <c r="N388" s="295"/>
      <c r="P388" s="296"/>
      <c r="T388" s="292"/>
    </row>
    <row r="389" ht="12.75" customHeight="1">
      <c r="D389" s="293"/>
      <c r="E389" s="107"/>
      <c r="F389" s="294"/>
      <c r="G389" s="295"/>
      <c r="J389" s="296"/>
      <c r="K389" s="295"/>
      <c r="M389" s="296"/>
      <c r="N389" s="295"/>
      <c r="P389" s="296"/>
      <c r="T389" s="292"/>
    </row>
    <row r="390" ht="12.75" customHeight="1">
      <c r="D390" s="293"/>
      <c r="E390" s="107"/>
      <c r="F390" s="294"/>
      <c r="G390" s="295"/>
      <c r="J390" s="296"/>
      <c r="K390" s="295"/>
      <c r="M390" s="296"/>
      <c r="N390" s="295"/>
      <c r="P390" s="296"/>
      <c r="T390" s="292"/>
    </row>
    <row r="391" ht="12.75" customHeight="1">
      <c r="D391" s="293"/>
      <c r="E391" s="107"/>
      <c r="F391" s="294"/>
      <c r="G391" s="295"/>
      <c r="J391" s="296"/>
      <c r="K391" s="295"/>
      <c r="M391" s="296"/>
      <c r="N391" s="295"/>
      <c r="P391" s="296"/>
      <c r="T391" s="292"/>
    </row>
    <row r="392" ht="12.75" customHeight="1">
      <c r="D392" s="293"/>
      <c r="E392" s="107"/>
      <c r="F392" s="294"/>
      <c r="G392" s="295"/>
      <c r="J392" s="296"/>
      <c r="K392" s="295"/>
      <c r="M392" s="296"/>
      <c r="N392" s="295"/>
      <c r="P392" s="296"/>
      <c r="T392" s="292"/>
    </row>
    <row r="393" ht="12.75" customHeight="1">
      <c r="D393" s="293"/>
      <c r="E393" s="107"/>
      <c r="F393" s="294"/>
      <c r="G393" s="295"/>
      <c r="J393" s="296"/>
      <c r="K393" s="295"/>
      <c r="M393" s="296"/>
      <c r="N393" s="295"/>
      <c r="P393" s="296"/>
      <c r="T393" s="292"/>
    </row>
    <row r="394" ht="12.75" customHeight="1">
      <c r="D394" s="293"/>
      <c r="E394" s="107"/>
      <c r="F394" s="294"/>
      <c r="G394" s="295"/>
      <c r="J394" s="296"/>
      <c r="K394" s="295"/>
      <c r="M394" s="296"/>
      <c r="N394" s="295"/>
      <c r="P394" s="296"/>
      <c r="T394" s="292"/>
    </row>
    <row r="395" ht="12.75" customHeight="1">
      <c r="D395" s="293"/>
      <c r="E395" s="107"/>
      <c r="F395" s="294"/>
      <c r="G395" s="295"/>
      <c r="J395" s="296"/>
      <c r="K395" s="295"/>
      <c r="M395" s="296"/>
      <c r="N395" s="295"/>
      <c r="P395" s="296"/>
      <c r="T395" s="292"/>
    </row>
    <row r="396" ht="12.75" customHeight="1">
      <c r="D396" s="293"/>
      <c r="E396" s="107"/>
      <c r="F396" s="294"/>
      <c r="G396" s="295"/>
      <c r="J396" s="296"/>
      <c r="K396" s="295"/>
      <c r="M396" s="296"/>
      <c r="N396" s="295"/>
      <c r="P396" s="296"/>
      <c r="T396" s="292"/>
    </row>
    <row r="397" ht="12.75" customHeight="1">
      <c r="D397" s="293"/>
      <c r="E397" s="107"/>
      <c r="F397" s="294"/>
      <c r="G397" s="295"/>
      <c r="J397" s="296"/>
      <c r="K397" s="295"/>
      <c r="M397" s="296"/>
      <c r="N397" s="295"/>
      <c r="P397" s="296"/>
      <c r="T397" s="292"/>
    </row>
    <row r="398" ht="12.75" customHeight="1">
      <c r="D398" s="293"/>
      <c r="E398" s="107"/>
      <c r="F398" s="294"/>
      <c r="G398" s="295"/>
      <c r="J398" s="296"/>
      <c r="K398" s="295"/>
      <c r="M398" s="296"/>
      <c r="N398" s="295"/>
      <c r="P398" s="296"/>
      <c r="T398" s="292"/>
    </row>
    <row r="399" ht="12.75" customHeight="1">
      <c r="D399" s="293"/>
      <c r="E399" s="107"/>
      <c r="F399" s="294"/>
      <c r="G399" s="295"/>
      <c r="J399" s="296"/>
      <c r="K399" s="295"/>
      <c r="M399" s="296"/>
      <c r="N399" s="295"/>
      <c r="P399" s="296"/>
      <c r="T399" s="292"/>
    </row>
    <row r="400" ht="12.75" customHeight="1">
      <c r="D400" s="293"/>
      <c r="E400" s="107"/>
      <c r="F400" s="294"/>
      <c r="G400" s="295"/>
      <c r="J400" s="296"/>
      <c r="K400" s="295"/>
      <c r="M400" s="296"/>
      <c r="N400" s="295"/>
      <c r="P400" s="296"/>
      <c r="T400" s="292"/>
    </row>
    <row r="401" ht="12.75" customHeight="1">
      <c r="D401" s="293"/>
      <c r="E401" s="107"/>
      <c r="F401" s="294"/>
      <c r="G401" s="295"/>
      <c r="J401" s="296"/>
      <c r="K401" s="295"/>
      <c r="M401" s="296"/>
      <c r="N401" s="295"/>
      <c r="P401" s="296"/>
      <c r="T401" s="292"/>
    </row>
    <row r="402" ht="12.75" customHeight="1">
      <c r="D402" s="293"/>
      <c r="E402" s="107"/>
      <c r="F402" s="294"/>
      <c r="G402" s="295"/>
      <c r="J402" s="296"/>
      <c r="K402" s="295"/>
      <c r="M402" s="296"/>
      <c r="N402" s="295"/>
      <c r="P402" s="296"/>
      <c r="T402" s="292"/>
    </row>
    <row r="403" ht="12.75" customHeight="1">
      <c r="D403" s="293"/>
      <c r="E403" s="107"/>
      <c r="F403" s="294"/>
      <c r="G403" s="295"/>
      <c r="J403" s="296"/>
      <c r="K403" s="295"/>
      <c r="M403" s="296"/>
      <c r="N403" s="295"/>
      <c r="P403" s="296"/>
      <c r="T403" s="292"/>
    </row>
    <row r="404" ht="12.75" customHeight="1">
      <c r="D404" s="293"/>
      <c r="E404" s="107"/>
      <c r="F404" s="294"/>
      <c r="G404" s="295"/>
      <c r="J404" s="296"/>
      <c r="K404" s="295"/>
      <c r="M404" s="296"/>
      <c r="N404" s="295"/>
      <c r="P404" s="296"/>
      <c r="T404" s="292"/>
    </row>
    <row r="405" ht="12.75" customHeight="1">
      <c r="D405" s="293"/>
      <c r="E405" s="107"/>
      <c r="F405" s="294"/>
      <c r="G405" s="295"/>
      <c r="J405" s="296"/>
      <c r="K405" s="295"/>
      <c r="M405" s="296"/>
      <c r="N405" s="295"/>
      <c r="P405" s="296"/>
      <c r="T405" s="292"/>
    </row>
    <row r="406" ht="12.75" customHeight="1">
      <c r="D406" s="293"/>
      <c r="E406" s="107"/>
      <c r="F406" s="294"/>
      <c r="G406" s="295"/>
      <c r="J406" s="296"/>
      <c r="K406" s="295"/>
      <c r="M406" s="296"/>
      <c r="N406" s="295"/>
      <c r="P406" s="296"/>
      <c r="T406" s="292"/>
    </row>
    <row r="407" ht="12.75" customHeight="1">
      <c r="D407" s="293"/>
      <c r="E407" s="107"/>
      <c r="F407" s="294"/>
      <c r="G407" s="295"/>
      <c r="J407" s="296"/>
      <c r="K407" s="295"/>
      <c r="M407" s="296"/>
      <c r="N407" s="295"/>
      <c r="P407" s="296"/>
      <c r="T407" s="292"/>
    </row>
    <row r="408" ht="12.75" customHeight="1">
      <c r="D408" s="293"/>
      <c r="E408" s="107"/>
      <c r="F408" s="294"/>
      <c r="G408" s="295"/>
      <c r="J408" s="296"/>
      <c r="K408" s="295"/>
      <c r="M408" s="296"/>
      <c r="N408" s="295"/>
      <c r="P408" s="296"/>
      <c r="T408" s="292"/>
    </row>
    <row r="409" ht="12.75" customHeight="1">
      <c r="D409" s="293"/>
      <c r="E409" s="107"/>
      <c r="F409" s="294"/>
      <c r="G409" s="295"/>
      <c r="J409" s="296"/>
      <c r="K409" s="295"/>
      <c r="M409" s="296"/>
      <c r="N409" s="295"/>
      <c r="P409" s="296"/>
      <c r="T409" s="292"/>
    </row>
    <row r="410" ht="12.75" customHeight="1">
      <c r="D410" s="293"/>
      <c r="E410" s="107"/>
      <c r="F410" s="294"/>
      <c r="G410" s="295"/>
      <c r="J410" s="296"/>
      <c r="K410" s="295"/>
      <c r="M410" s="296"/>
      <c r="N410" s="295"/>
      <c r="P410" s="296"/>
      <c r="T410" s="292"/>
    </row>
    <row r="411" ht="12.75" customHeight="1">
      <c r="D411" s="293"/>
      <c r="E411" s="107"/>
      <c r="F411" s="294"/>
      <c r="G411" s="295"/>
      <c r="J411" s="296"/>
      <c r="K411" s="295"/>
      <c r="M411" s="296"/>
      <c r="N411" s="295"/>
      <c r="P411" s="296"/>
      <c r="T411" s="292"/>
    </row>
    <row r="412" ht="12.75" customHeight="1">
      <c r="D412" s="293"/>
      <c r="E412" s="107"/>
      <c r="F412" s="294"/>
      <c r="G412" s="295"/>
      <c r="J412" s="296"/>
      <c r="K412" s="295"/>
      <c r="M412" s="296"/>
      <c r="N412" s="295"/>
      <c r="P412" s="296"/>
      <c r="T412" s="292"/>
    </row>
    <row r="413" ht="12.75" customHeight="1">
      <c r="D413" s="293"/>
      <c r="E413" s="107"/>
      <c r="F413" s="294"/>
      <c r="G413" s="295"/>
      <c r="J413" s="296"/>
      <c r="K413" s="295"/>
      <c r="M413" s="296"/>
      <c r="N413" s="295"/>
      <c r="P413" s="296"/>
      <c r="T413" s="292"/>
    </row>
    <row r="414" ht="12.75" customHeight="1">
      <c r="D414" s="293"/>
      <c r="E414" s="107"/>
      <c r="F414" s="294"/>
      <c r="G414" s="295"/>
      <c r="J414" s="296"/>
      <c r="K414" s="295"/>
      <c r="M414" s="296"/>
      <c r="N414" s="295"/>
      <c r="P414" s="296"/>
      <c r="T414" s="292"/>
    </row>
    <row r="415" ht="12.75" customHeight="1">
      <c r="D415" s="293"/>
      <c r="E415" s="107"/>
      <c r="F415" s="294"/>
      <c r="G415" s="295"/>
      <c r="J415" s="296"/>
      <c r="K415" s="295"/>
      <c r="M415" s="296"/>
      <c r="N415" s="295"/>
      <c r="P415" s="296"/>
      <c r="T415" s="292"/>
    </row>
    <row r="416" ht="12.75" customHeight="1">
      <c r="D416" s="293"/>
      <c r="E416" s="107"/>
      <c r="F416" s="294"/>
      <c r="G416" s="295"/>
      <c r="J416" s="296"/>
      <c r="K416" s="295"/>
      <c r="M416" s="296"/>
      <c r="N416" s="295"/>
      <c r="P416" s="296"/>
      <c r="T416" s="292"/>
    </row>
    <row r="417" ht="12.75" customHeight="1">
      <c r="D417" s="293"/>
      <c r="E417" s="107"/>
      <c r="F417" s="294"/>
      <c r="G417" s="295"/>
      <c r="J417" s="296"/>
      <c r="K417" s="295"/>
      <c r="M417" s="296"/>
      <c r="N417" s="295"/>
      <c r="P417" s="296"/>
      <c r="T417" s="292"/>
    </row>
    <row r="418" ht="12.75" customHeight="1">
      <c r="D418" s="293"/>
      <c r="E418" s="107"/>
      <c r="F418" s="294"/>
      <c r="G418" s="295"/>
      <c r="J418" s="296"/>
      <c r="K418" s="295"/>
      <c r="M418" s="296"/>
      <c r="N418" s="295"/>
      <c r="P418" s="296"/>
      <c r="T418" s="292"/>
    </row>
    <row r="419" ht="12.75" customHeight="1">
      <c r="D419" s="293"/>
      <c r="E419" s="107"/>
      <c r="F419" s="294"/>
      <c r="G419" s="295"/>
      <c r="J419" s="296"/>
      <c r="K419" s="295"/>
      <c r="M419" s="296"/>
      <c r="N419" s="295"/>
      <c r="P419" s="296"/>
      <c r="T419" s="292"/>
    </row>
    <row r="420" ht="12.75" customHeight="1">
      <c r="D420" s="293"/>
      <c r="E420" s="107"/>
      <c r="F420" s="294"/>
      <c r="G420" s="295"/>
      <c r="J420" s="296"/>
      <c r="K420" s="295"/>
      <c r="M420" s="296"/>
      <c r="N420" s="295"/>
      <c r="P420" s="296"/>
      <c r="T420" s="292"/>
    </row>
    <row r="421" ht="12.75" customHeight="1">
      <c r="D421" s="293"/>
      <c r="E421" s="107"/>
      <c r="F421" s="294"/>
      <c r="G421" s="295"/>
      <c r="J421" s="296"/>
      <c r="K421" s="295"/>
      <c r="M421" s="296"/>
      <c r="N421" s="295"/>
      <c r="P421" s="296"/>
      <c r="T421" s="292"/>
    </row>
    <row r="422" ht="12.75" customHeight="1">
      <c r="D422" s="293"/>
      <c r="E422" s="107"/>
      <c r="F422" s="294"/>
      <c r="G422" s="295"/>
      <c r="J422" s="296"/>
      <c r="K422" s="295"/>
      <c r="M422" s="296"/>
      <c r="N422" s="295"/>
      <c r="P422" s="296"/>
      <c r="T422" s="292"/>
    </row>
    <row r="423" ht="12.75" customHeight="1">
      <c r="D423" s="293"/>
      <c r="E423" s="107"/>
      <c r="F423" s="294"/>
      <c r="G423" s="295"/>
      <c r="J423" s="296"/>
      <c r="K423" s="295"/>
      <c r="M423" s="296"/>
      <c r="N423" s="295"/>
      <c r="P423" s="296"/>
      <c r="T423" s="292"/>
    </row>
    <row r="424" ht="12.75" customHeight="1">
      <c r="D424" s="293"/>
      <c r="E424" s="107"/>
      <c r="F424" s="294"/>
      <c r="G424" s="295"/>
      <c r="J424" s="296"/>
      <c r="K424" s="295"/>
      <c r="M424" s="296"/>
      <c r="N424" s="295"/>
      <c r="P424" s="296"/>
      <c r="T424" s="292"/>
    </row>
    <row r="425" ht="12.75" customHeight="1">
      <c r="D425" s="293"/>
      <c r="E425" s="107"/>
      <c r="F425" s="294"/>
      <c r="G425" s="295"/>
      <c r="J425" s="296"/>
      <c r="K425" s="295"/>
      <c r="M425" s="296"/>
      <c r="N425" s="295"/>
      <c r="P425" s="296"/>
      <c r="T425" s="292"/>
    </row>
    <row r="426" ht="12.75" customHeight="1">
      <c r="D426" s="293"/>
      <c r="E426" s="107"/>
      <c r="F426" s="294"/>
      <c r="G426" s="295"/>
      <c r="J426" s="296"/>
      <c r="K426" s="295"/>
      <c r="M426" s="296"/>
      <c r="N426" s="295"/>
      <c r="P426" s="296"/>
      <c r="T426" s="292"/>
    </row>
    <row r="427" ht="12.75" customHeight="1">
      <c r="D427" s="293"/>
      <c r="E427" s="107"/>
      <c r="F427" s="294"/>
      <c r="G427" s="295"/>
      <c r="J427" s="296"/>
      <c r="K427" s="295"/>
      <c r="M427" s="296"/>
      <c r="N427" s="295"/>
      <c r="P427" s="296"/>
      <c r="T427" s="292"/>
    </row>
    <row r="428" ht="12.75" customHeight="1">
      <c r="D428" s="293"/>
      <c r="E428" s="107"/>
      <c r="F428" s="294"/>
      <c r="G428" s="295"/>
      <c r="J428" s="296"/>
      <c r="K428" s="295"/>
      <c r="M428" s="296"/>
      <c r="N428" s="295"/>
      <c r="P428" s="296"/>
      <c r="T428" s="292"/>
    </row>
    <row r="429" ht="12.75" customHeight="1">
      <c r="D429" s="293"/>
      <c r="E429" s="107"/>
      <c r="F429" s="294"/>
      <c r="G429" s="295"/>
      <c r="J429" s="296"/>
      <c r="K429" s="295"/>
      <c r="M429" s="296"/>
      <c r="N429" s="295"/>
      <c r="P429" s="296"/>
      <c r="T429" s="292"/>
    </row>
    <row r="430" ht="12.75" customHeight="1">
      <c r="D430" s="293"/>
      <c r="E430" s="107"/>
      <c r="F430" s="294"/>
      <c r="G430" s="295"/>
      <c r="J430" s="296"/>
      <c r="K430" s="295"/>
      <c r="M430" s="296"/>
      <c r="N430" s="295"/>
      <c r="P430" s="296"/>
      <c r="T430" s="292"/>
    </row>
    <row r="431" ht="12.75" customHeight="1">
      <c r="D431" s="293"/>
      <c r="E431" s="107"/>
      <c r="F431" s="294"/>
      <c r="G431" s="295"/>
      <c r="J431" s="296"/>
      <c r="K431" s="295"/>
      <c r="M431" s="296"/>
      <c r="N431" s="295"/>
      <c r="P431" s="296"/>
      <c r="T431" s="292"/>
    </row>
    <row r="432" ht="12.75" customHeight="1">
      <c r="D432" s="293"/>
      <c r="E432" s="107"/>
      <c r="F432" s="294"/>
      <c r="G432" s="295"/>
      <c r="J432" s="296"/>
      <c r="K432" s="295"/>
      <c r="M432" s="296"/>
      <c r="N432" s="295"/>
      <c r="P432" s="296"/>
      <c r="T432" s="292"/>
    </row>
    <row r="433" ht="12.75" customHeight="1">
      <c r="D433" s="293"/>
      <c r="E433" s="107"/>
      <c r="F433" s="294"/>
      <c r="G433" s="295"/>
      <c r="J433" s="296"/>
      <c r="K433" s="295"/>
      <c r="M433" s="296"/>
      <c r="N433" s="295"/>
      <c r="P433" s="296"/>
      <c r="T433" s="292"/>
    </row>
    <row r="434" ht="12.75" customHeight="1">
      <c r="D434" s="293"/>
      <c r="E434" s="107"/>
      <c r="F434" s="294"/>
      <c r="G434" s="295"/>
      <c r="J434" s="296"/>
      <c r="K434" s="295"/>
      <c r="M434" s="296"/>
      <c r="N434" s="295"/>
      <c r="P434" s="296"/>
      <c r="T434" s="292"/>
    </row>
    <row r="435" ht="12.75" customHeight="1">
      <c r="D435" s="293"/>
      <c r="E435" s="107"/>
      <c r="F435" s="294"/>
      <c r="G435" s="295"/>
      <c r="J435" s="296"/>
      <c r="K435" s="295"/>
      <c r="M435" s="296"/>
      <c r="N435" s="295"/>
      <c r="P435" s="296"/>
      <c r="T435" s="292"/>
    </row>
    <row r="436" ht="12.75" customHeight="1">
      <c r="D436" s="293"/>
      <c r="E436" s="107"/>
      <c r="F436" s="294"/>
      <c r="G436" s="295"/>
      <c r="J436" s="296"/>
      <c r="K436" s="295"/>
      <c r="M436" s="296"/>
      <c r="N436" s="295"/>
      <c r="P436" s="296"/>
      <c r="T436" s="292"/>
    </row>
    <row r="437" ht="12.75" customHeight="1">
      <c r="D437" s="293"/>
      <c r="E437" s="107"/>
      <c r="F437" s="294"/>
      <c r="G437" s="295"/>
      <c r="J437" s="296"/>
      <c r="K437" s="295"/>
      <c r="M437" s="296"/>
      <c r="N437" s="295"/>
      <c r="P437" s="296"/>
      <c r="T437" s="292"/>
    </row>
    <row r="438" ht="12.75" customHeight="1">
      <c r="D438" s="293"/>
      <c r="E438" s="107"/>
      <c r="F438" s="294"/>
      <c r="G438" s="295"/>
      <c r="J438" s="296"/>
      <c r="K438" s="295"/>
      <c r="M438" s="296"/>
      <c r="N438" s="295"/>
      <c r="P438" s="296"/>
      <c r="T438" s="292"/>
    </row>
    <row r="439" ht="12.75" customHeight="1">
      <c r="D439" s="293"/>
      <c r="E439" s="107"/>
      <c r="F439" s="294"/>
      <c r="G439" s="295"/>
      <c r="J439" s="296"/>
      <c r="K439" s="295"/>
      <c r="M439" s="296"/>
      <c r="N439" s="295"/>
      <c r="P439" s="296"/>
      <c r="T439" s="292"/>
    </row>
    <row r="440" ht="12.75" customHeight="1">
      <c r="D440" s="293"/>
      <c r="E440" s="107"/>
      <c r="F440" s="294"/>
      <c r="G440" s="295"/>
      <c r="J440" s="296"/>
      <c r="K440" s="295"/>
      <c r="M440" s="296"/>
      <c r="N440" s="295"/>
      <c r="P440" s="296"/>
      <c r="T440" s="292"/>
    </row>
    <row r="441" ht="12.75" customHeight="1">
      <c r="D441" s="293"/>
      <c r="E441" s="107"/>
      <c r="F441" s="294"/>
      <c r="G441" s="295"/>
      <c r="J441" s="296"/>
      <c r="K441" s="295"/>
      <c r="M441" s="296"/>
      <c r="N441" s="295"/>
      <c r="P441" s="296"/>
      <c r="T441" s="292"/>
    </row>
    <row r="442" ht="12.75" customHeight="1">
      <c r="D442" s="293"/>
      <c r="E442" s="107"/>
      <c r="F442" s="294"/>
      <c r="G442" s="295"/>
      <c r="J442" s="296"/>
      <c r="K442" s="295"/>
      <c r="M442" s="296"/>
      <c r="N442" s="295"/>
      <c r="P442" s="296"/>
      <c r="T442" s="292"/>
    </row>
    <row r="443" ht="12.75" customHeight="1">
      <c r="D443" s="293"/>
      <c r="E443" s="107"/>
      <c r="F443" s="294"/>
      <c r="G443" s="295"/>
      <c r="J443" s="296"/>
      <c r="K443" s="295"/>
      <c r="M443" s="296"/>
      <c r="N443" s="295"/>
      <c r="P443" s="296"/>
      <c r="T443" s="292"/>
    </row>
    <row r="444" ht="12.75" customHeight="1">
      <c r="D444" s="293"/>
      <c r="E444" s="107"/>
      <c r="F444" s="294"/>
      <c r="G444" s="295"/>
      <c r="J444" s="296"/>
      <c r="K444" s="295"/>
      <c r="M444" s="296"/>
      <c r="N444" s="295"/>
      <c r="P444" s="296"/>
      <c r="T444" s="292"/>
    </row>
    <row r="445" ht="12.75" customHeight="1">
      <c r="D445" s="293"/>
      <c r="E445" s="107"/>
      <c r="F445" s="294"/>
      <c r="G445" s="295"/>
      <c r="J445" s="296"/>
      <c r="K445" s="295"/>
      <c r="M445" s="296"/>
      <c r="N445" s="295"/>
      <c r="P445" s="296"/>
      <c r="T445" s="292"/>
    </row>
    <row r="446" ht="12.75" customHeight="1">
      <c r="D446" s="293"/>
      <c r="E446" s="107"/>
      <c r="F446" s="294"/>
      <c r="G446" s="295"/>
      <c r="J446" s="296"/>
      <c r="K446" s="295"/>
      <c r="M446" s="296"/>
      <c r="N446" s="295"/>
      <c r="P446" s="296"/>
      <c r="T446" s="292"/>
    </row>
    <row r="447" ht="12.75" customHeight="1">
      <c r="D447" s="293"/>
      <c r="E447" s="107"/>
      <c r="F447" s="294"/>
      <c r="G447" s="295"/>
      <c r="J447" s="296"/>
      <c r="K447" s="295"/>
      <c r="M447" s="296"/>
      <c r="N447" s="295"/>
      <c r="P447" s="296"/>
      <c r="T447" s="292"/>
    </row>
    <row r="448" ht="12.75" customHeight="1">
      <c r="D448" s="293"/>
      <c r="E448" s="107"/>
      <c r="F448" s="294"/>
      <c r="G448" s="295"/>
      <c r="J448" s="296"/>
      <c r="K448" s="295"/>
      <c r="M448" s="296"/>
      <c r="N448" s="295"/>
      <c r="P448" s="296"/>
      <c r="T448" s="292"/>
    </row>
    <row r="449" ht="12.75" customHeight="1">
      <c r="D449" s="293"/>
      <c r="E449" s="107"/>
      <c r="F449" s="294"/>
      <c r="G449" s="295"/>
      <c r="J449" s="296"/>
      <c r="K449" s="295"/>
      <c r="M449" s="296"/>
      <c r="N449" s="295"/>
      <c r="P449" s="296"/>
      <c r="T449" s="292"/>
    </row>
    <row r="450" ht="12.75" customHeight="1">
      <c r="D450" s="293"/>
      <c r="E450" s="107"/>
      <c r="F450" s="294"/>
      <c r="G450" s="295"/>
      <c r="J450" s="296"/>
      <c r="K450" s="295"/>
      <c r="M450" s="296"/>
      <c r="N450" s="295"/>
      <c r="P450" s="296"/>
      <c r="T450" s="292"/>
    </row>
    <row r="451" ht="12.75" customHeight="1">
      <c r="D451" s="293"/>
      <c r="E451" s="107"/>
      <c r="F451" s="294"/>
      <c r="G451" s="295"/>
      <c r="J451" s="296"/>
      <c r="K451" s="295"/>
      <c r="M451" s="296"/>
      <c r="N451" s="295"/>
      <c r="P451" s="296"/>
      <c r="T451" s="292"/>
    </row>
    <row r="452" ht="12.75" customHeight="1">
      <c r="D452" s="293"/>
      <c r="E452" s="107"/>
      <c r="F452" s="294"/>
      <c r="G452" s="295"/>
      <c r="J452" s="296"/>
      <c r="K452" s="295"/>
      <c r="M452" s="296"/>
      <c r="N452" s="295"/>
      <c r="P452" s="296"/>
      <c r="T452" s="292"/>
    </row>
    <row r="453" ht="12.75" customHeight="1">
      <c r="D453" s="293"/>
      <c r="E453" s="107"/>
      <c r="F453" s="294"/>
      <c r="G453" s="295"/>
      <c r="J453" s="296"/>
      <c r="K453" s="295"/>
      <c r="M453" s="296"/>
      <c r="N453" s="295"/>
      <c r="P453" s="296"/>
      <c r="T453" s="292"/>
    </row>
    <row r="454" ht="12.75" customHeight="1">
      <c r="D454" s="293"/>
      <c r="E454" s="107"/>
      <c r="F454" s="294"/>
      <c r="G454" s="295"/>
      <c r="J454" s="296"/>
      <c r="K454" s="295"/>
      <c r="M454" s="296"/>
      <c r="N454" s="295"/>
      <c r="P454" s="296"/>
      <c r="T454" s="292"/>
    </row>
    <row r="455" ht="12.75" customHeight="1">
      <c r="D455" s="293"/>
      <c r="E455" s="107"/>
      <c r="F455" s="294"/>
      <c r="G455" s="295"/>
      <c r="J455" s="296"/>
      <c r="K455" s="295"/>
      <c r="M455" s="296"/>
      <c r="N455" s="295"/>
      <c r="P455" s="296"/>
      <c r="T455" s="292"/>
    </row>
    <row r="456" ht="12.75" customHeight="1">
      <c r="D456" s="293"/>
      <c r="E456" s="107"/>
      <c r="F456" s="294"/>
      <c r="G456" s="295"/>
      <c r="J456" s="296"/>
      <c r="K456" s="295"/>
      <c r="M456" s="296"/>
      <c r="N456" s="295"/>
      <c r="P456" s="296"/>
      <c r="T456" s="292"/>
    </row>
    <row r="457" ht="12.75" customHeight="1">
      <c r="D457" s="293"/>
      <c r="E457" s="107"/>
      <c r="F457" s="294"/>
      <c r="G457" s="295"/>
      <c r="J457" s="296"/>
      <c r="K457" s="295"/>
      <c r="M457" s="296"/>
      <c r="N457" s="295"/>
      <c r="P457" s="296"/>
      <c r="T457" s="292"/>
    </row>
    <row r="458" ht="12.75" customHeight="1">
      <c r="D458" s="293"/>
      <c r="E458" s="107"/>
      <c r="F458" s="294"/>
      <c r="G458" s="295"/>
      <c r="J458" s="296"/>
      <c r="K458" s="295"/>
      <c r="M458" s="296"/>
      <c r="N458" s="295"/>
      <c r="P458" s="296"/>
      <c r="T458" s="292"/>
    </row>
    <row r="459" ht="12.75" customHeight="1">
      <c r="D459" s="293"/>
      <c r="E459" s="107"/>
      <c r="F459" s="294"/>
      <c r="G459" s="295"/>
      <c r="J459" s="296"/>
      <c r="K459" s="295"/>
      <c r="M459" s="296"/>
      <c r="N459" s="295"/>
      <c r="P459" s="296"/>
      <c r="T459" s="292"/>
    </row>
    <row r="460" ht="12.75" customHeight="1">
      <c r="D460" s="293"/>
      <c r="E460" s="107"/>
      <c r="F460" s="294"/>
      <c r="G460" s="295"/>
      <c r="J460" s="296"/>
      <c r="K460" s="295"/>
      <c r="M460" s="296"/>
      <c r="N460" s="295"/>
      <c r="P460" s="296"/>
      <c r="T460" s="292"/>
    </row>
    <row r="461" ht="12.75" customHeight="1">
      <c r="D461" s="293"/>
      <c r="E461" s="107"/>
      <c r="F461" s="294"/>
      <c r="G461" s="295"/>
      <c r="J461" s="296"/>
      <c r="K461" s="295"/>
      <c r="M461" s="296"/>
      <c r="N461" s="295"/>
      <c r="P461" s="296"/>
      <c r="T461" s="292"/>
    </row>
    <row r="462" ht="12.75" customHeight="1">
      <c r="D462" s="293"/>
      <c r="E462" s="107"/>
      <c r="F462" s="294"/>
      <c r="G462" s="295"/>
      <c r="J462" s="296"/>
      <c r="K462" s="295"/>
      <c r="M462" s="296"/>
      <c r="N462" s="295"/>
      <c r="P462" s="296"/>
      <c r="T462" s="292"/>
    </row>
    <row r="463" ht="12.75" customHeight="1">
      <c r="D463" s="293"/>
      <c r="E463" s="107"/>
      <c r="F463" s="294"/>
      <c r="G463" s="295"/>
      <c r="J463" s="296"/>
      <c r="K463" s="295"/>
      <c r="M463" s="296"/>
      <c r="N463" s="295"/>
      <c r="P463" s="296"/>
      <c r="T463" s="292"/>
    </row>
    <row r="464" ht="12.75" customHeight="1">
      <c r="D464" s="293"/>
      <c r="E464" s="107"/>
      <c r="F464" s="294"/>
      <c r="G464" s="295"/>
      <c r="J464" s="296"/>
      <c r="K464" s="295"/>
      <c r="M464" s="296"/>
      <c r="N464" s="295"/>
      <c r="P464" s="296"/>
      <c r="T464" s="292"/>
    </row>
    <row r="465" ht="12.75" customHeight="1">
      <c r="D465" s="293"/>
      <c r="E465" s="107"/>
      <c r="F465" s="294"/>
      <c r="G465" s="295"/>
      <c r="J465" s="296"/>
      <c r="K465" s="295"/>
      <c r="M465" s="296"/>
      <c r="N465" s="295"/>
      <c r="P465" s="296"/>
      <c r="T465" s="292"/>
    </row>
    <row r="466" ht="12.75" customHeight="1">
      <c r="D466" s="293"/>
      <c r="E466" s="107"/>
      <c r="F466" s="294"/>
      <c r="G466" s="295"/>
      <c r="J466" s="296"/>
      <c r="K466" s="295"/>
      <c r="M466" s="296"/>
      <c r="N466" s="295"/>
      <c r="P466" s="296"/>
      <c r="T466" s="292"/>
    </row>
    <row r="467" ht="12.75" customHeight="1">
      <c r="D467" s="293"/>
      <c r="E467" s="107"/>
      <c r="F467" s="294"/>
      <c r="G467" s="295"/>
      <c r="J467" s="296"/>
      <c r="K467" s="295"/>
      <c r="M467" s="296"/>
      <c r="N467" s="295"/>
      <c r="P467" s="296"/>
      <c r="T467" s="292"/>
    </row>
    <row r="468" ht="12.75" customHeight="1">
      <c r="D468" s="293"/>
      <c r="E468" s="107"/>
      <c r="F468" s="294"/>
      <c r="G468" s="295"/>
      <c r="J468" s="296"/>
      <c r="K468" s="295"/>
      <c r="M468" s="296"/>
      <c r="N468" s="295"/>
      <c r="P468" s="296"/>
      <c r="T468" s="292"/>
    </row>
    <row r="469" ht="12.75" customHeight="1">
      <c r="D469" s="293"/>
      <c r="E469" s="107"/>
      <c r="F469" s="294"/>
      <c r="G469" s="295"/>
      <c r="J469" s="296"/>
      <c r="K469" s="295"/>
      <c r="M469" s="296"/>
      <c r="N469" s="295"/>
      <c r="P469" s="296"/>
      <c r="T469" s="292"/>
    </row>
    <row r="470" ht="12.75" customHeight="1">
      <c r="D470" s="293"/>
      <c r="E470" s="107"/>
      <c r="F470" s="294"/>
      <c r="G470" s="295"/>
      <c r="J470" s="296"/>
      <c r="K470" s="295"/>
      <c r="M470" s="296"/>
      <c r="N470" s="295"/>
      <c r="P470" s="296"/>
      <c r="T470" s="292"/>
    </row>
    <row r="471" ht="12.75" customHeight="1">
      <c r="D471" s="293"/>
      <c r="E471" s="107"/>
      <c r="F471" s="294"/>
      <c r="G471" s="295"/>
      <c r="J471" s="296"/>
      <c r="K471" s="295"/>
      <c r="M471" s="296"/>
      <c r="N471" s="295"/>
      <c r="P471" s="296"/>
      <c r="T471" s="292"/>
    </row>
    <row r="472" ht="12.75" customHeight="1">
      <c r="D472" s="293"/>
      <c r="E472" s="107"/>
      <c r="F472" s="294"/>
      <c r="G472" s="295"/>
      <c r="J472" s="296"/>
      <c r="K472" s="295"/>
      <c r="M472" s="296"/>
      <c r="N472" s="295"/>
      <c r="P472" s="296"/>
      <c r="T472" s="292"/>
    </row>
    <row r="473" ht="12.75" customHeight="1">
      <c r="D473" s="293"/>
      <c r="E473" s="107"/>
      <c r="F473" s="294"/>
      <c r="G473" s="295"/>
      <c r="J473" s="296"/>
      <c r="K473" s="295"/>
      <c r="M473" s="296"/>
      <c r="N473" s="295"/>
      <c r="P473" s="296"/>
      <c r="T473" s="292"/>
    </row>
    <row r="474" ht="12.75" customHeight="1">
      <c r="D474" s="293"/>
      <c r="E474" s="107"/>
      <c r="F474" s="294"/>
      <c r="G474" s="295"/>
      <c r="J474" s="296"/>
      <c r="K474" s="295"/>
      <c r="M474" s="296"/>
      <c r="N474" s="295"/>
      <c r="P474" s="296"/>
      <c r="T474" s="292"/>
    </row>
    <row r="475" ht="12.75" customHeight="1">
      <c r="D475" s="293"/>
      <c r="E475" s="107"/>
      <c r="F475" s="294"/>
      <c r="G475" s="295"/>
      <c r="J475" s="296"/>
      <c r="K475" s="295"/>
      <c r="M475" s="296"/>
      <c r="N475" s="295"/>
      <c r="P475" s="296"/>
      <c r="T475" s="292"/>
    </row>
    <row r="476" ht="12.75" customHeight="1">
      <c r="D476" s="293"/>
      <c r="E476" s="107"/>
      <c r="F476" s="294"/>
      <c r="G476" s="295"/>
      <c r="J476" s="296"/>
      <c r="K476" s="295"/>
      <c r="M476" s="296"/>
      <c r="N476" s="295"/>
      <c r="P476" s="296"/>
      <c r="T476" s="292"/>
    </row>
    <row r="477" ht="12.75" customHeight="1">
      <c r="D477" s="293"/>
      <c r="E477" s="107"/>
      <c r="F477" s="294"/>
      <c r="G477" s="295"/>
      <c r="J477" s="296"/>
      <c r="K477" s="295"/>
      <c r="M477" s="296"/>
      <c r="N477" s="295"/>
      <c r="P477" s="296"/>
      <c r="T477" s="292"/>
    </row>
    <row r="478" ht="12.75" customHeight="1">
      <c r="D478" s="293"/>
      <c r="E478" s="107"/>
      <c r="F478" s="294"/>
      <c r="G478" s="295"/>
      <c r="J478" s="296"/>
      <c r="K478" s="295"/>
      <c r="M478" s="296"/>
      <c r="N478" s="295"/>
      <c r="P478" s="296"/>
      <c r="T478" s="292"/>
    </row>
    <row r="479" ht="12.75" customHeight="1">
      <c r="D479" s="293"/>
      <c r="E479" s="107"/>
      <c r="F479" s="294"/>
      <c r="G479" s="295"/>
      <c r="J479" s="296"/>
      <c r="K479" s="295"/>
      <c r="M479" s="296"/>
      <c r="N479" s="295"/>
      <c r="P479" s="296"/>
      <c r="T479" s="292"/>
    </row>
    <row r="480" ht="12.75" customHeight="1">
      <c r="D480" s="293"/>
      <c r="E480" s="107"/>
      <c r="F480" s="294"/>
      <c r="G480" s="295"/>
      <c r="J480" s="296"/>
      <c r="K480" s="295"/>
      <c r="M480" s="296"/>
      <c r="N480" s="295"/>
      <c r="P480" s="296"/>
      <c r="T480" s="292"/>
    </row>
    <row r="481" ht="12.75" customHeight="1">
      <c r="D481" s="293"/>
      <c r="E481" s="107"/>
      <c r="F481" s="294"/>
      <c r="G481" s="295"/>
      <c r="J481" s="296"/>
      <c r="K481" s="295"/>
      <c r="M481" s="296"/>
      <c r="N481" s="295"/>
      <c r="P481" s="296"/>
      <c r="T481" s="292"/>
    </row>
    <row r="482" ht="12.75" customHeight="1">
      <c r="D482" s="293"/>
      <c r="E482" s="107"/>
      <c r="F482" s="294"/>
      <c r="G482" s="295"/>
      <c r="J482" s="296"/>
      <c r="K482" s="295"/>
      <c r="M482" s="296"/>
      <c r="N482" s="295"/>
      <c r="P482" s="296"/>
      <c r="T482" s="292"/>
    </row>
    <row r="483" ht="12.75" customHeight="1">
      <c r="D483" s="293"/>
      <c r="E483" s="107"/>
      <c r="F483" s="294"/>
      <c r="G483" s="295"/>
      <c r="J483" s="296"/>
      <c r="K483" s="295"/>
      <c r="M483" s="296"/>
      <c r="N483" s="295"/>
      <c r="P483" s="296"/>
      <c r="T483" s="292"/>
    </row>
    <row r="484" ht="12.75" customHeight="1">
      <c r="D484" s="293"/>
      <c r="E484" s="107"/>
      <c r="F484" s="294"/>
      <c r="G484" s="295"/>
      <c r="J484" s="296"/>
      <c r="K484" s="295"/>
      <c r="M484" s="296"/>
      <c r="N484" s="295"/>
      <c r="P484" s="296"/>
      <c r="T484" s="292"/>
    </row>
    <row r="485" ht="12.75" customHeight="1">
      <c r="D485" s="293"/>
      <c r="E485" s="107"/>
      <c r="F485" s="294"/>
      <c r="G485" s="295"/>
      <c r="J485" s="296"/>
      <c r="K485" s="295"/>
      <c r="M485" s="296"/>
      <c r="N485" s="295"/>
      <c r="P485" s="296"/>
      <c r="T485" s="292"/>
    </row>
    <row r="486" ht="12.75" customHeight="1">
      <c r="D486" s="293"/>
      <c r="E486" s="107"/>
      <c r="F486" s="294"/>
      <c r="G486" s="295"/>
      <c r="J486" s="296"/>
      <c r="K486" s="295"/>
      <c r="M486" s="296"/>
      <c r="N486" s="295"/>
      <c r="P486" s="296"/>
      <c r="T486" s="292"/>
    </row>
    <row r="487" ht="12.75" customHeight="1">
      <c r="D487" s="293"/>
      <c r="E487" s="107"/>
      <c r="F487" s="294"/>
      <c r="G487" s="295"/>
      <c r="J487" s="296"/>
      <c r="K487" s="295"/>
      <c r="M487" s="296"/>
      <c r="N487" s="295"/>
      <c r="P487" s="296"/>
      <c r="T487" s="292"/>
    </row>
    <row r="488" ht="12.75" customHeight="1">
      <c r="D488" s="293"/>
      <c r="E488" s="107"/>
      <c r="F488" s="294"/>
      <c r="G488" s="295"/>
      <c r="J488" s="296"/>
      <c r="K488" s="295"/>
      <c r="M488" s="296"/>
      <c r="N488" s="295"/>
      <c r="P488" s="296"/>
      <c r="T488" s="292"/>
    </row>
    <row r="489" ht="12.75" customHeight="1">
      <c r="D489" s="293"/>
      <c r="E489" s="107"/>
      <c r="F489" s="294"/>
      <c r="G489" s="295"/>
      <c r="J489" s="296"/>
      <c r="K489" s="295"/>
      <c r="M489" s="296"/>
      <c r="N489" s="295"/>
      <c r="P489" s="296"/>
      <c r="T489" s="292"/>
    </row>
    <row r="490" ht="12.75" customHeight="1">
      <c r="D490" s="293"/>
      <c r="E490" s="107"/>
      <c r="F490" s="294"/>
      <c r="G490" s="295"/>
      <c r="J490" s="296"/>
      <c r="K490" s="295"/>
      <c r="M490" s="296"/>
      <c r="N490" s="295"/>
      <c r="P490" s="296"/>
      <c r="T490" s="292"/>
    </row>
    <row r="491" ht="12.75" customHeight="1">
      <c r="D491" s="293"/>
      <c r="E491" s="107"/>
      <c r="F491" s="294"/>
      <c r="G491" s="295"/>
      <c r="J491" s="296"/>
      <c r="K491" s="295"/>
      <c r="M491" s="296"/>
      <c r="N491" s="295"/>
      <c r="P491" s="296"/>
      <c r="T491" s="292"/>
    </row>
    <row r="492" ht="12.75" customHeight="1">
      <c r="D492" s="293"/>
      <c r="E492" s="107"/>
      <c r="F492" s="294"/>
      <c r="G492" s="295"/>
      <c r="J492" s="296"/>
      <c r="K492" s="295"/>
      <c r="M492" s="296"/>
      <c r="N492" s="295"/>
      <c r="P492" s="296"/>
      <c r="T492" s="292"/>
    </row>
    <row r="493" ht="12.75" customHeight="1">
      <c r="D493" s="293"/>
      <c r="E493" s="107"/>
      <c r="F493" s="294"/>
      <c r="G493" s="295"/>
      <c r="J493" s="296"/>
      <c r="K493" s="295"/>
      <c r="M493" s="296"/>
      <c r="N493" s="295"/>
      <c r="P493" s="296"/>
      <c r="T493" s="292"/>
    </row>
    <row r="494" ht="12.75" customHeight="1">
      <c r="D494" s="293"/>
      <c r="E494" s="107"/>
      <c r="F494" s="294"/>
      <c r="G494" s="295"/>
      <c r="J494" s="296"/>
      <c r="K494" s="295"/>
      <c r="M494" s="296"/>
      <c r="N494" s="295"/>
      <c r="P494" s="296"/>
      <c r="T494" s="292"/>
    </row>
    <row r="495" ht="12.75" customHeight="1">
      <c r="D495" s="293"/>
      <c r="E495" s="107"/>
      <c r="F495" s="294"/>
      <c r="G495" s="295"/>
      <c r="J495" s="296"/>
      <c r="K495" s="295"/>
      <c r="M495" s="296"/>
      <c r="N495" s="295"/>
      <c r="P495" s="296"/>
      <c r="T495" s="292"/>
    </row>
    <row r="496" ht="12.75" customHeight="1">
      <c r="D496" s="293"/>
      <c r="E496" s="107"/>
      <c r="F496" s="294"/>
      <c r="G496" s="295"/>
      <c r="J496" s="296"/>
      <c r="K496" s="295"/>
      <c r="M496" s="296"/>
      <c r="N496" s="295"/>
      <c r="P496" s="296"/>
      <c r="T496" s="292"/>
    </row>
    <row r="497" ht="12.75" customHeight="1">
      <c r="D497" s="293"/>
      <c r="E497" s="107"/>
      <c r="F497" s="294"/>
      <c r="G497" s="295"/>
      <c r="J497" s="296"/>
      <c r="K497" s="295"/>
      <c r="M497" s="296"/>
      <c r="N497" s="295"/>
      <c r="P497" s="296"/>
      <c r="T497" s="292"/>
    </row>
    <row r="498" ht="12.75" customHeight="1">
      <c r="D498" s="293"/>
      <c r="E498" s="107"/>
      <c r="F498" s="294"/>
      <c r="G498" s="295"/>
      <c r="J498" s="296"/>
      <c r="K498" s="295"/>
      <c r="M498" s="296"/>
      <c r="N498" s="295"/>
      <c r="P498" s="296"/>
      <c r="T498" s="292"/>
    </row>
    <row r="499" ht="12.75" customHeight="1">
      <c r="D499" s="293"/>
      <c r="E499" s="107"/>
      <c r="F499" s="294"/>
      <c r="G499" s="295"/>
      <c r="J499" s="296"/>
      <c r="K499" s="295"/>
      <c r="M499" s="296"/>
      <c r="N499" s="295"/>
      <c r="P499" s="296"/>
      <c r="T499" s="292"/>
    </row>
    <row r="500" ht="12.75" customHeight="1">
      <c r="D500" s="293"/>
      <c r="E500" s="107"/>
      <c r="F500" s="294"/>
      <c r="G500" s="295"/>
      <c r="J500" s="296"/>
      <c r="K500" s="295"/>
      <c r="M500" s="296"/>
      <c r="N500" s="295"/>
      <c r="P500" s="296"/>
      <c r="T500" s="292"/>
    </row>
    <row r="501" ht="12.75" customHeight="1">
      <c r="D501" s="293"/>
      <c r="E501" s="107"/>
      <c r="F501" s="294"/>
      <c r="G501" s="295"/>
      <c r="J501" s="296"/>
      <c r="K501" s="295"/>
      <c r="M501" s="296"/>
      <c r="N501" s="295"/>
      <c r="P501" s="296"/>
      <c r="T501" s="292"/>
    </row>
    <row r="502" ht="12.75" customHeight="1">
      <c r="D502" s="293"/>
      <c r="E502" s="107"/>
      <c r="F502" s="294"/>
      <c r="G502" s="295"/>
      <c r="J502" s="296"/>
      <c r="K502" s="295"/>
      <c r="M502" s="296"/>
      <c r="N502" s="295"/>
      <c r="P502" s="296"/>
      <c r="T502" s="292"/>
    </row>
    <row r="503" ht="12.75" customHeight="1">
      <c r="D503" s="293"/>
      <c r="E503" s="107"/>
      <c r="F503" s="294"/>
      <c r="G503" s="295"/>
      <c r="J503" s="296"/>
      <c r="K503" s="295"/>
      <c r="M503" s="296"/>
      <c r="N503" s="295"/>
      <c r="P503" s="296"/>
      <c r="T503" s="292"/>
    </row>
    <row r="504" ht="12.75" customHeight="1">
      <c r="D504" s="293"/>
      <c r="E504" s="107"/>
      <c r="F504" s="294"/>
      <c r="G504" s="295"/>
      <c r="J504" s="296"/>
      <c r="K504" s="295"/>
      <c r="M504" s="296"/>
      <c r="N504" s="295"/>
      <c r="P504" s="296"/>
      <c r="T504" s="292"/>
    </row>
    <row r="505" ht="12.75" customHeight="1">
      <c r="D505" s="293"/>
      <c r="E505" s="107"/>
      <c r="F505" s="294"/>
      <c r="G505" s="295"/>
      <c r="J505" s="296"/>
      <c r="K505" s="295"/>
      <c r="M505" s="296"/>
      <c r="N505" s="295"/>
      <c r="P505" s="296"/>
      <c r="T505" s="292"/>
    </row>
    <row r="506" ht="12.75" customHeight="1">
      <c r="D506" s="293"/>
      <c r="E506" s="107"/>
      <c r="F506" s="294"/>
      <c r="G506" s="295"/>
      <c r="J506" s="296"/>
      <c r="K506" s="295"/>
      <c r="M506" s="296"/>
      <c r="N506" s="295"/>
      <c r="P506" s="296"/>
      <c r="T506" s="292"/>
    </row>
    <row r="507" ht="12.75" customHeight="1">
      <c r="D507" s="293"/>
      <c r="E507" s="107"/>
      <c r="F507" s="294"/>
      <c r="G507" s="295"/>
      <c r="J507" s="296"/>
      <c r="K507" s="295"/>
      <c r="M507" s="296"/>
      <c r="N507" s="295"/>
      <c r="P507" s="296"/>
      <c r="T507" s="292"/>
    </row>
    <row r="508" ht="12.75" customHeight="1">
      <c r="D508" s="293"/>
      <c r="E508" s="107"/>
      <c r="F508" s="294"/>
      <c r="G508" s="295"/>
      <c r="J508" s="296"/>
      <c r="K508" s="295"/>
      <c r="M508" s="296"/>
      <c r="N508" s="295"/>
      <c r="P508" s="296"/>
      <c r="T508" s="292"/>
    </row>
    <row r="509" ht="12.75" customHeight="1">
      <c r="D509" s="293"/>
      <c r="E509" s="107"/>
      <c r="F509" s="294"/>
      <c r="G509" s="295"/>
      <c r="J509" s="296"/>
      <c r="K509" s="295"/>
      <c r="M509" s="296"/>
      <c r="N509" s="295"/>
      <c r="P509" s="296"/>
      <c r="T509" s="292"/>
    </row>
    <row r="510" ht="12.75" customHeight="1">
      <c r="D510" s="293"/>
      <c r="E510" s="107"/>
      <c r="F510" s="294"/>
      <c r="G510" s="295"/>
      <c r="J510" s="296"/>
      <c r="K510" s="295"/>
      <c r="M510" s="296"/>
      <c r="N510" s="295"/>
      <c r="P510" s="296"/>
      <c r="T510" s="292"/>
    </row>
    <row r="511" ht="12.75" customHeight="1">
      <c r="D511" s="293"/>
      <c r="E511" s="107"/>
      <c r="F511" s="294"/>
      <c r="G511" s="295"/>
      <c r="J511" s="296"/>
      <c r="K511" s="295"/>
      <c r="M511" s="296"/>
      <c r="N511" s="295"/>
      <c r="P511" s="296"/>
      <c r="T511" s="292"/>
    </row>
    <row r="512" ht="12.75" customHeight="1">
      <c r="D512" s="293"/>
      <c r="E512" s="107"/>
      <c r="F512" s="294"/>
      <c r="G512" s="295"/>
      <c r="J512" s="296"/>
      <c r="K512" s="295"/>
      <c r="M512" s="296"/>
      <c r="N512" s="295"/>
      <c r="P512" s="296"/>
      <c r="T512" s="292"/>
    </row>
    <row r="513" ht="12.75" customHeight="1">
      <c r="D513" s="293"/>
      <c r="E513" s="107"/>
      <c r="F513" s="294"/>
      <c r="G513" s="295"/>
      <c r="J513" s="296"/>
      <c r="K513" s="295"/>
      <c r="M513" s="296"/>
      <c r="N513" s="295"/>
      <c r="P513" s="296"/>
      <c r="T513" s="292"/>
    </row>
    <row r="514" ht="12.75" customHeight="1">
      <c r="D514" s="293"/>
      <c r="E514" s="107"/>
      <c r="F514" s="294"/>
      <c r="G514" s="295"/>
      <c r="J514" s="296"/>
      <c r="K514" s="295"/>
      <c r="M514" s="296"/>
      <c r="N514" s="295"/>
      <c r="P514" s="296"/>
      <c r="T514" s="292"/>
    </row>
    <row r="515" ht="12.75" customHeight="1">
      <c r="D515" s="293"/>
      <c r="E515" s="107"/>
      <c r="F515" s="294"/>
      <c r="G515" s="295"/>
      <c r="J515" s="296"/>
      <c r="K515" s="295"/>
      <c r="M515" s="296"/>
      <c r="N515" s="295"/>
      <c r="P515" s="296"/>
      <c r="T515" s="292"/>
    </row>
    <row r="516" ht="12.75" customHeight="1">
      <c r="D516" s="293"/>
      <c r="E516" s="107"/>
      <c r="F516" s="294"/>
      <c r="G516" s="295"/>
      <c r="J516" s="296"/>
      <c r="K516" s="295"/>
      <c r="M516" s="296"/>
      <c r="N516" s="295"/>
      <c r="P516" s="296"/>
      <c r="T516" s="292"/>
    </row>
    <row r="517" ht="12.75" customHeight="1">
      <c r="D517" s="293"/>
      <c r="E517" s="107"/>
      <c r="F517" s="294"/>
      <c r="G517" s="295"/>
      <c r="J517" s="296"/>
      <c r="K517" s="295"/>
      <c r="M517" s="296"/>
      <c r="N517" s="295"/>
      <c r="P517" s="296"/>
      <c r="T517" s="292"/>
    </row>
    <row r="518" ht="12.75" customHeight="1">
      <c r="D518" s="293"/>
      <c r="E518" s="107"/>
      <c r="F518" s="294"/>
      <c r="G518" s="295"/>
      <c r="J518" s="296"/>
      <c r="K518" s="295"/>
      <c r="M518" s="296"/>
      <c r="N518" s="295"/>
      <c r="P518" s="296"/>
      <c r="T518" s="292"/>
    </row>
    <row r="519" ht="12.75" customHeight="1">
      <c r="D519" s="293"/>
      <c r="E519" s="107"/>
      <c r="F519" s="294"/>
      <c r="G519" s="295"/>
      <c r="J519" s="296"/>
      <c r="K519" s="295"/>
      <c r="M519" s="296"/>
      <c r="N519" s="295"/>
      <c r="P519" s="296"/>
      <c r="T519" s="292"/>
    </row>
    <row r="520" ht="12.75" customHeight="1">
      <c r="D520" s="293"/>
      <c r="E520" s="107"/>
      <c r="F520" s="294"/>
      <c r="G520" s="295"/>
      <c r="J520" s="296"/>
      <c r="K520" s="295"/>
      <c r="M520" s="296"/>
      <c r="N520" s="295"/>
      <c r="P520" s="296"/>
      <c r="T520" s="292"/>
    </row>
    <row r="521" ht="12.75" customHeight="1">
      <c r="D521" s="293"/>
      <c r="E521" s="107"/>
      <c r="F521" s="294"/>
      <c r="G521" s="295"/>
      <c r="J521" s="296"/>
      <c r="K521" s="295"/>
      <c r="M521" s="296"/>
      <c r="N521" s="295"/>
      <c r="P521" s="296"/>
      <c r="T521" s="292"/>
    </row>
    <row r="522" ht="12.75" customHeight="1">
      <c r="D522" s="293"/>
      <c r="E522" s="107"/>
      <c r="F522" s="294"/>
      <c r="G522" s="295"/>
      <c r="J522" s="296"/>
      <c r="K522" s="295"/>
      <c r="M522" s="296"/>
      <c r="N522" s="295"/>
      <c r="P522" s="296"/>
      <c r="T522" s="292"/>
    </row>
    <row r="523" ht="12.75" customHeight="1">
      <c r="D523" s="293"/>
      <c r="E523" s="107"/>
      <c r="F523" s="294"/>
      <c r="G523" s="295"/>
      <c r="J523" s="296"/>
      <c r="K523" s="295"/>
      <c r="M523" s="296"/>
      <c r="N523" s="295"/>
      <c r="P523" s="296"/>
      <c r="T523" s="292"/>
    </row>
    <row r="524" ht="12.75" customHeight="1">
      <c r="D524" s="293"/>
      <c r="E524" s="107"/>
      <c r="F524" s="294"/>
      <c r="G524" s="295"/>
      <c r="J524" s="296"/>
      <c r="K524" s="295"/>
      <c r="M524" s="296"/>
      <c r="N524" s="295"/>
      <c r="P524" s="296"/>
      <c r="T524" s="292"/>
    </row>
    <row r="525" ht="12.75" customHeight="1">
      <c r="D525" s="293"/>
      <c r="E525" s="107"/>
      <c r="F525" s="294"/>
      <c r="G525" s="295"/>
      <c r="J525" s="296"/>
      <c r="K525" s="295"/>
      <c r="M525" s="296"/>
      <c r="N525" s="295"/>
      <c r="P525" s="296"/>
      <c r="T525" s="292"/>
    </row>
    <row r="526" ht="12.75" customHeight="1">
      <c r="D526" s="293"/>
      <c r="E526" s="107"/>
      <c r="F526" s="294"/>
      <c r="G526" s="295"/>
      <c r="J526" s="296"/>
      <c r="K526" s="295"/>
      <c r="M526" s="296"/>
      <c r="N526" s="295"/>
      <c r="P526" s="296"/>
      <c r="T526" s="292"/>
    </row>
    <row r="527" ht="12.75" customHeight="1">
      <c r="D527" s="293"/>
      <c r="E527" s="107"/>
      <c r="F527" s="294"/>
      <c r="G527" s="295"/>
      <c r="J527" s="296"/>
      <c r="K527" s="295"/>
      <c r="M527" s="296"/>
      <c r="N527" s="295"/>
      <c r="P527" s="296"/>
      <c r="T527" s="292"/>
    </row>
    <row r="528" ht="12.75" customHeight="1">
      <c r="D528" s="293"/>
      <c r="E528" s="107"/>
      <c r="F528" s="294"/>
      <c r="G528" s="295"/>
      <c r="J528" s="296"/>
      <c r="K528" s="295"/>
      <c r="M528" s="296"/>
      <c r="N528" s="295"/>
      <c r="P528" s="296"/>
      <c r="T528" s="292"/>
    </row>
    <row r="529" ht="12.75" customHeight="1">
      <c r="D529" s="293"/>
      <c r="E529" s="107"/>
      <c r="F529" s="294"/>
      <c r="G529" s="295"/>
      <c r="J529" s="296"/>
      <c r="K529" s="295"/>
      <c r="M529" s="296"/>
      <c r="N529" s="295"/>
      <c r="P529" s="296"/>
      <c r="T529" s="292"/>
    </row>
    <row r="530" ht="12.75" customHeight="1">
      <c r="D530" s="293"/>
      <c r="E530" s="107"/>
      <c r="F530" s="294"/>
      <c r="G530" s="295"/>
      <c r="J530" s="296"/>
      <c r="K530" s="295"/>
      <c r="M530" s="296"/>
      <c r="N530" s="295"/>
      <c r="P530" s="296"/>
      <c r="T530" s="292"/>
    </row>
    <row r="531" ht="12.75" customHeight="1">
      <c r="D531" s="293"/>
      <c r="E531" s="107"/>
      <c r="F531" s="294"/>
      <c r="G531" s="295"/>
      <c r="J531" s="296"/>
      <c r="K531" s="295"/>
      <c r="M531" s="296"/>
      <c r="N531" s="295"/>
      <c r="P531" s="296"/>
      <c r="T531" s="292"/>
    </row>
    <row r="532" ht="12.75" customHeight="1">
      <c r="D532" s="293"/>
      <c r="E532" s="107"/>
      <c r="F532" s="294"/>
      <c r="G532" s="295"/>
      <c r="J532" s="296"/>
      <c r="K532" s="295"/>
      <c r="M532" s="296"/>
      <c r="N532" s="295"/>
      <c r="P532" s="296"/>
      <c r="T532" s="292"/>
    </row>
    <row r="533" ht="12.75" customHeight="1">
      <c r="D533" s="293"/>
      <c r="E533" s="107"/>
      <c r="F533" s="294"/>
      <c r="G533" s="295"/>
      <c r="J533" s="296"/>
      <c r="K533" s="295"/>
      <c r="M533" s="296"/>
      <c r="N533" s="295"/>
      <c r="P533" s="296"/>
      <c r="T533" s="292"/>
    </row>
    <row r="534" ht="12.75" customHeight="1">
      <c r="D534" s="293"/>
      <c r="E534" s="107"/>
      <c r="F534" s="294"/>
      <c r="G534" s="295"/>
      <c r="J534" s="296"/>
      <c r="K534" s="295"/>
      <c r="M534" s="296"/>
      <c r="N534" s="295"/>
      <c r="P534" s="296"/>
      <c r="T534" s="292"/>
    </row>
    <row r="535" ht="12.75" customHeight="1">
      <c r="D535" s="293"/>
      <c r="E535" s="107"/>
      <c r="F535" s="294"/>
      <c r="G535" s="295"/>
      <c r="J535" s="296"/>
      <c r="K535" s="295"/>
      <c r="M535" s="296"/>
      <c r="N535" s="295"/>
      <c r="P535" s="296"/>
      <c r="T535" s="292"/>
    </row>
    <row r="536" ht="12.75" customHeight="1">
      <c r="D536" s="293"/>
      <c r="E536" s="107"/>
      <c r="F536" s="294"/>
      <c r="G536" s="295"/>
      <c r="J536" s="296"/>
      <c r="K536" s="295"/>
      <c r="M536" s="296"/>
      <c r="N536" s="295"/>
      <c r="P536" s="296"/>
      <c r="T536" s="292"/>
    </row>
    <row r="537" ht="12.75" customHeight="1">
      <c r="D537" s="293"/>
      <c r="E537" s="107"/>
      <c r="F537" s="294"/>
      <c r="G537" s="295"/>
      <c r="J537" s="296"/>
      <c r="K537" s="295"/>
      <c r="M537" s="296"/>
      <c r="N537" s="295"/>
      <c r="P537" s="296"/>
      <c r="T537" s="292"/>
    </row>
    <row r="538" ht="12.75" customHeight="1">
      <c r="D538" s="293"/>
      <c r="E538" s="107"/>
      <c r="F538" s="294"/>
      <c r="G538" s="295"/>
      <c r="J538" s="296"/>
      <c r="K538" s="295"/>
      <c r="M538" s="296"/>
      <c r="N538" s="295"/>
      <c r="P538" s="296"/>
      <c r="T538" s="292"/>
    </row>
    <row r="539" ht="12.75" customHeight="1">
      <c r="D539" s="293"/>
      <c r="E539" s="107"/>
      <c r="F539" s="294"/>
      <c r="G539" s="295"/>
      <c r="J539" s="296"/>
      <c r="K539" s="295"/>
      <c r="M539" s="296"/>
      <c r="N539" s="295"/>
      <c r="P539" s="296"/>
      <c r="T539" s="292"/>
    </row>
    <row r="540" ht="12.75" customHeight="1">
      <c r="D540" s="293"/>
      <c r="E540" s="107"/>
      <c r="F540" s="294"/>
      <c r="G540" s="295"/>
      <c r="J540" s="296"/>
      <c r="K540" s="295"/>
      <c r="M540" s="296"/>
      <c r="N540" s="295"/>
      <c r="P540" s="296"/>
      <c r="T540" s="292"/>
    </row>
    <row r="541" ht="12.75" customHeight="1">
      <c r="D541" s="293"/>
      <c r="E541" s="107"/>
      <c r="F541" s="294"/>
      <c r="G541" s="295"/>
      <c r="J541" s="296"/>
      <c r="K541" s="295"/>
      <c r="M541" s="296"/>
      <c r="N541" s="295"/>
      <c r="P541" s="296"/>
      <c r="T541" s="292"/>
    </row>
    <row r="542" ht="12.75" customHeight="1">
      <c r="D542" s="293"/>
      <c r="E542" s="107"/>
      <c r="F542" s="294"/>
      <c r="G542" s="295"/>
      <c r="J542" s="296"/>
      <c r="K542" s="295"/>
      <c r="M542" s="296"/>
      <c r="N542" s="295"/>
      <c r="P542" s="296"/>
      <c r="T542" s="292"/>
    </row>
    <row r="543" ht="12.75" customHeight="1">
      <c r="D543" s="293"/>
      <c r="E543" s="107"/>
      <c r="F543" s="294"/>
      <c r="G543" s="295"/>
      <c r="J543" s="296"/>
      <c r="K543" s="295"/>
      <c r="M543" s="296"/>
      <c r="N543" s="295"/>
      <c r="P543" s="296"/>
      <c r="T543" s="292"/>
    </row>
    <row r="544" ht="12.75" customHeight="1">
      <c r="D544" s="293"/>
      <c r="E544" s="107"/>
      <c r="F544" s="294"/>
      <c r="G544" s="295"/>
      <c r="J544" s="296"/>
      <c r="K544" s="295"/>
      <c r="M544" s="296"/>
      <c r="N544" s="295"/>
      <c r="P544" s="296"/>
      <c r="T544" s="292"/>
    </row>
    <row r="545" ht="12.75" customHeight="1">
      <c r="D545" s="293"/>
      <c r="E545" s="107"/>
      <c r="F545" s="294"/>
      <c r="G545" s="295"/>
      <c r="J545" s="296"/>
      <c r="K545" s="295"/>
      <c r="M545" s="296"/>
      <c r="N545" s="295"/>
      <c r="P545" s="296"/>
      <c r="T545" s="292"/>
    </row>
    <row r="546" ht="12.75" customHeight="1">
      <c r="D546" s="293"/>
      <c r="E546" s="107"/>
      <c r="F546" s="294"/>
      <c r="G546" s="295"/>
      <c r="J546" s="296"/>
      <c r="K546" s="295"/>
      <c r="M546" s="296"/>
      <c r="N546" s="295"/>
      <c r="P546" s="296"/>
      <c r="T546" s="292"/>
    </row>
    <row r="547" ht="12.75" customHeight="1">
      <c r="D547" s="293"/>
      <c r="E547" s="107"/>
      <c r="F547" s="294"/>
      <c r="G547" s="295"/>
      <c r="J547" s="296"/>
      <c r="K547" s="295"/>
      <c r="M547" s="296"/>
      <c r="N547" s="295"/>
      <c r="P547" s="296"/>
      <c r="T547" s="292"/>
    </row>
    <row r="548" ht="12.75" customHeight="1">
      <c r="D548" s="293"/>
      <c r="E548" s="107"/>
      <c r="F548" s="294"/>
      <c r="G548" s="295"/>
      <c r="J548" s="296"/>
      <c r="K548" s="295"/>
      <c r="M548" s="296"/>
      <c r="N548" s="295"/>
      <c r="P548" s="296"/>
      <c r="T548" s="292"/>
    </row>
    <row r="549" ht="12.75" customHeight="1">
      <c r="D549" s="293"/>
      <c r="E549" s="107"/>
      <c r="F549" s="294"/>
      <c r="G549" s="295"/>
      <c r="J549" s="296"/>
      <c r="K549" s="295"/>
      <c r="M549" s="296"/>
      <c r="N549" s="295"/>
      <c r="P549" s="296"/>
      <c r="T549" s="292"/>
    </row>
    <row r="550" ht="12.75" customHeight="1">
      <c r="D550" s="293"/>
      <c r="E550" s="107"/>
      <c r="F550" s="294"/>
      <c r="G550" s="295"/>
      <c r="J550" s="296"/>
      <c r="K550" s="295"/>
      <c r="M550" s="296"/>
      <c r="N550" s="295"/>
      <c r="P550" s="296"/>
      <c r="T550" s="292"/>
    </row>
    <row r="551" ht="12.75" customHeight="1">
      <c r="D551" s="293"/>
      <c r="E551" s="107"/>
      <c r="F551" s="294"/>
      <c r="G551" s="295"/>
      <c r="J551" s="296"/>
      <c r="K551" s="295"/>
      <c r="M551" s="296"/>
      <c r="N551" s="295"/>
      <c r="P551" s="296"/>
      <c r="T551" s="292"/>
    </row>
    <row r="552" ht="12.75" customHeight="1">
      <c r="D552" s="293"/>
      <c r="E552" s="107"/>
      <c r="F552" s="294"/>
      <c r="G552" s="295"/>
      <c r="J552" s="296"/>
      <c r="K552" s="295"/>
      <c r="M552" s="296"/>
      <c r="N552" s="295"/>
      <c r="P552" s="296"/>
      <c r="T552" s="292"/>
    </row>
    <row r="553" ht="12.75" customHeight="1">
      <c r="D553" s="293"/>
      <c r="E553" s="107"/>
      <c r="F553" s="294"/>
      <c r="G553" s="295"/>
      <c r="J553" s="296"/>
      <c r="K553" s="295"/>
      <c r="M553" s="296"/>
      <c r="N553" s="295"/>
      <c r="P553" s="296"/>
      <c r="T553" s="292"/>
    </row>
    <row r="554" ht="12.75" customHeight="1">
      <c r="D554" s="293"/>
      <c r="E554" s="107"/>
      <c r="F554" s="294"/>
      <c r="G554" s="295"/>
      <c r="J554" s="296"/>
      <c r="K554" s="295"/>
      <c r="M554" s="296"/>
      <c r="N554" s="295"/>
      <c r="P554" s="296"/>
      <c r="T554" s="292"/>
    </row>
    <row r="555" ht="12.75" customHeight="1">
      <c r="D555" s="293"/>
      <c r="E555" s="107"/>
      <c r="F555" s="294"/>
      <c r="G555" s="295"/>
      <c r="J555" s="296"/>
      <c r="K555" s="295"/>
      <c r="M555" s="296"/>
      <c r="N555" s="295"/>
      <c r="P555" s="296"/>
      <c r="T555" s="292"/>
    </row>
    <row r="556" ht="12.75" customHeight="1">
      <c r="D556" s="293"/>
      <c r="E556" s="107"/>
      <c r="F556" s="294"/>
      <c r="G556" s="295"/>
      <c r="J556" s="296"/>
      <c r="K556" s="295"/>
      <c r="M556" s="296"/>
      <c r="N556" s="295"/>
      <c r="P556" s="296"/>
      <c r="T556" s="292"/>
    </row>
    <row r="557" ht="12.75" customHeight="1">
      <c r="D557" s="293"/>
      <c r="E557" s="107"/>
      <c r="F557" s="294"/>
      <c r="G557" s="295"/>
      <c r="J557" s="296"/>
      <c r="K557" s="295"/>
      <c r="M557" s="296"/>
      <c r="N557" s="295"/>
      <c r="P557" s="296"/>
      <c r="T557" s="292"/>
    </row>
    <row r="558" ht="12.75" customHeight="1">
      <c r="D558" s="293"/>
      <c r="E558" s="107"/>
      <c r="F558" s="294"/>
      <c r="G558" s="295"/>
      <c r="J558" s="296"/>
      <c r="K558" s="295"/>
      <c r="M558" s="296"/>
      <c r="N558" s="295"/>
      <c r="P558" s="296"/>
      <c r="T558" s="292"/>
    </row>
    <row r="559" ht="12.75" customHeight="1">
      <c r="D559" s="293"/>
      <c r="E559" s="107"/>
      <c r="F559" s="294"/>
      <c r="G559" s="295"/>
      <c r="J559" s="296"/>
      <c r="K559" s="295"/>
      <c r="M559" s="296"/>
      <c r="N559" s="295"/>
      <c r="P559" s="296"/>
      <c r="T559" s="292"/>
    </row>
    <row r="560" ht="12.75" customHeight="1">
      <c r="D560" s="293"/>
      <c r="E560" s="107"/>
      <c r="F560" s="294"/>
      <c r="G560" s="295"/>
      <c r="J560" s="296"/>
      <c r="K560" s="295"/>
      <c r="M560" s="296"/>
      <c r="N560" s="295"/>
      <c r="P560" s="296"/>
      <c r="T560" s="292"/>
    </row>
    <row r="561" ht="12.75" customHeight="1">
      <c r="D561" s="293"/>
      <c r="E561" s="107"/>
      <c r="F561" s="294"/>
      <c r="G561" s="295"/>
      <c r="J561" s="296"/>
      <c r="K561" s="295"/>
      <c r="M561" s="296"/>
      <c r="N561" s="295"/>
      <c r="P561" s="296"/>
      <c r="T561" s="292"/>
    </row>
    <row r="562" ht="12.75" customHeight="1">
      <c r="D562" s="293"/>
      <c r="E562" s="107"/>
      <c r="F562" s="294"/>
      <c r="G562" s="295"/>
      <c r="J562" s="296"/>
      <c r="K562" s="295"/>
      <c r="M562" s="296"/>
      <c r="N562" s="295"/>
      <c r="P562" s="296"/>
      <c r="T562" s="292"/>
    </row>
    <row r="563" ht="12.75" customHeight="1">
      <c r="D563" s="293"/>
      <c r="E563" s="107"/>
      <c r="F563" s="294"/>
      <c r="G563" s="295"/>
      <c r="J563" s="296"/>
      <c r="K563" s="295"/>
      <c r="M563" s="296"/>
      <c r="N563" s="295"/>
      <c r="P563" s="296"/>
      <c r="T563" s="292"/>
    </row>
    <row r="564" ht="12.75" customHeight="1">
      <c r="D564" s="293"/>
      <c r="E564" s="107"/>
      <c r="F564" s="294"/>
      <c r="G564" s="295"/>
      <c r="J564" s="296"/>
      <c r="K564" s="295"/>
      <c r="M564" s="296"/>
      <c r="N564" s="295"/>
      <c r="P564" s="296"/>
      <c r="T564" s="292"/>
    </row>
    <row r="565" ht="12.75" customHeight="1">
      <c r="D565" s="293"/>
      <c r="E565" s="107"/>
      <c r="F565" s="294"/>
      <c r="G565" s="295"/>
      <c r="J565" s="296"/>
      <c r="K565" s="295"/>
      <c r="M565" s="296"/>
      <c r="N565" s="295"/>
      <c r="P565" s="296"/>
      <c r="T565" s="292"/>
    </row>
    <row r="566" ht="12.75" customHeight="1">
      <c r="D566" s="293"/>
      <c r="E566" s="107"/>
      <c r="F566" s="294"/>
      <c r="G566" s="295"/>
      <c r="J566" s="296"/>
      <c r="K566" s="295"/>
      <c r="M566" s="296"/>
      <c r="N566" s="295"/>
      <c r="P566" s="296"/>
      <c r="T566" s="292"/>
    </row>
    <row r="567" ht="12.75" customHeight="1">
      <c r="D567" s="293"/>
      <c r="E567" s="107"/>
      <c r="F567" s="294"/>
      <c r="G567" s="295"/>
      <c r="J567" s="296"/>
      <c r="K567" s="295"/>
      <c r="M567" s="296"/>
      <c r="N567" s="295"/>
      <c r="P567" s="296"/>
      <c r="T567" s="292"/>
    </row>
    <row r="568" ht="12.75" customHeight="1">
      <c r="D568" s="293"/>
      <c r="E568" s="107"/>
      <c r="F568" s="294"/>
      <c r="G568" s="295"/>
      <c r="J568" s="296"/>
      <c r="K568" s="295"/>
      <c r="M568" s="296"/>
      <c r="N568" s="295"/>
      <c r="P568" s="296"/>
      <c r="T568" s="292"/>
    </row>
    <row r="569" ht="12.75" customHeight="1">
      <c r="D569" s="293"/>
      <c r="E569" s="107"/>
      <c r="F569" s="294"/>
      <c r="G569" s="295"/>
      <c r="J569" s="296"/>
      <c r="K569" s="295"/>
      <c r="M569" s="296"/>
      <c r="N569" s="295"/>
      <c r="P569" s="296"/>
      <c r="T569" s="292"/>
    </row>
    <row r="570" ht="12.75" customHeight="1">
      <c r="D570" s="293"/>
      <c r="E570" s="107"/>
      <c r="F570" s="294"/>
      <c r="G570" s="295"/>
      <c r="J570" s="296"/>
      <c r="K570" s="295"/>
      <c r="M570" s="296"/>
      <c r="N570" s="295"/>
      <c r="P570" s="296"/>
      <c r="T570" s="292"/>
    </row>
    <row r="571" ht="12.75" customHeight="1">
      <c r="D571" s="293"/>
      <c r="E571" s="107"/>
      <c r="F571" s="294"/>
      <c r="G571" s="295"/>
      <c r="J571" s="296"/>
      <c r="K571" s="295"/>
      <c r="M571" s="296"/>
      <c r="N571" s="295"/>
      <c r="P571" s="296"/>
      <c r="T571" s="292"/>
    </row>
    <row r="572" ht="12.75" customHeight="1">
      <c r="D572" s="293"/>
      <c r="E572" s="107"/>
      <c r="F572" s="294"/>
      <c r="G572" s="295"/>
      <c r="J572" s="296"/>
      <c r="K572" s="295"/>
      <c r="M572" s="296"/>
      <c r="N572" s="295"/>
      <c r="P572" s="296"/>
      <c r="T572" s="292"/>
    </row>
    <row r="573" ht="12.75" customHeight="1">
      <c r="D573" s="293"/>
      <c r="E573" s="107"/>
      <c r="F573" s="294"/>
      <c r="G573" s="295"/>
      <c r="J573" s="296"/>
      <c r="K573" s="295"/>
      <c r="M573" s="296"/>
      <c r="N573" s="295"/>
      <c r="P573" s="296"/>
      <c r="T573" s="292"/>
    </row>
    <row r="574" ht="12.75" customHeight="1">
      <c r="D574" s="293"/>
      <c r="E574" s="107"/>
      <c r="F574" s="294"/>
      <c r="G574" s="295"/>
      <c r="J574" s="296"/>
      <c r="K574" s="295"/>
      <c r="M574" s="296"/>
      <c r="N574" s="295"/>
      <c r="P574" s="296"/>
      <c r="T574" s="292"/>
    </row>
    <row r="575" ht="12.75" customHeight="1">
      <c r="D575" s="293"/>
      <c r="E575" s="107"/>
      <c r="F575" s="294"/>
      <c r="G575" s="295"/>
      <c r="J575" s="296"/>
      <c r="K575" s="295"/>
      <c r="M575" s="296"/>
      <c r="N575" s="295"/>
      <c r="P575" s="296"/>
      <c r="T575" s="292"/>
    </row>
    <row r="576" ht="12.75" customHeight="1">
      <c r="D576" s="293"/>
      <c r="E576" s="107"/>
      <c r="F576" s="294"/>
      <c r="G576" s="295"/>
      <c r="J576" s="296"/>
      <c r="K576" s="295"/>
      <c r="M576" s="296"/>
      <c r="N576" s="295"/>
      <c r="P576" s="296"/>
      <c r="T576" s="292"/>
    </row>
    <row r="577" ht="12.75" customHeight="1">
      <c r="D577" s="293"/>
      <c r="E577" s="107"/>
      <c r="F577" s="294"/>
      <c r="G577" s="295"/>
      <c r="J577" s="296"/>
      <c r="K577" s="295"/>
      <c r="M577" s="296"/>
      <c r="N577" s="295"/>
      <c r="P577" s="296"/>
      <c r="T577" s="292"/>
    </row>
    <row r="578" ht="12.75" customHeight="1">
      <c r="D578" s="293"/>
      <c r="E578" s="107"/>
      <c r="F578" s="294"/>
      <c r="G578" s="295"/>
      <c r="J578" s="296"/>
      <c r="K578" s="295"/>
      <c r="M578" s="296"/>
      <c r="N578" s="295"/>
      <c r="P578" s="296"/>
      <c r="T578" s="292"/>
    </row>
    <row r="579" ht="12.75" customHeight="1">
      <c r="D579" s="293"/>
      <c r="E579" s="107"/>
      <c r="F579" s="294"/>
      <c r="G579" s="295"/>
      <c r="J579" s="296"/>
      <c r="K579" s="295"/>
      <c r="M579" s="296"/>
      <c r="N579" s="295"/>
      <c r="P579" s="296"/>
      <c r="T579" s="292"/>
    </row>
    <row r="580" ht="12.75" customHeight="1">
      <c r="D580" s="293"/>
      <c r="E580" s="107"/>
      <c r="F580" s="294"/>
      <c r="G580" s="295"/>
      <c r="J580" s="296"/>
      <c r="K580" s="295"/>
      <c r="M580" s="296"/>
      <c r="N580" s="295"/>
      <c r="P580" s="296"/>
      <c r="T580" s="292"/>
    </row>
    <row r="581" ht="12.75" customHeight="1">
      <c r="D581" s="293"/>
      <c r="E581" s="107"/>
      <c r="F581" s="294"/>
      <c r="G581" s="295"/>
      <c r="J581" s="296"/>
      <c r="K581" s="295"/>
      <c r="M581" s="296"/>
      <c r="N581" s="295"/>
      <c r="P581" s="296"/>
      <c r="T581" s="292"/>
    </row>
    <row r="582" ht="12.75" customHeight="1">
      <c r="D582" s="293"/>
      <c r="E582" s="107"/>
      <c r="F582" s="294"/>
      <c r="G582" s="295"/>
      <c r="J582" s="296"/>
      <c r="K582" s="295"/>
      <c r="M582" s="296"/>
      <c r="N582" s="295"/>
      <c r="P582" s="296"/>
      <c r="T582" s="292"/>
    </row>
    <row r="583" ht="12.75" customHeight="1">
      <c r="D583" s="293"/>
      <c r="E583" s="107"/>
      <c r="F583" s="294"/>
      <c r="G583" s="295"/>
      <c r="J583" s="296"/>
      <c r="K583" s="295"/>
      <c r="M583" s="296"/>
      <c r="N583" s="295"/>
      <c r="P583" s="296"/>
      <c r="T583" s="292"/>
    </row>
    <row r="584" ht="12.75" customHeight="1">
      <c r="D584" s="293"/>
      <c r="E584" s="107"/>
      <c r="F584" s="294"/>
      <c r="G584" s="295"/>
      <c r="J584" s="296"/>
      <c r="K584" s="295"/>
      <c r="M584" s="296"/>
      <c r="N584" s="295"/>
      <c r="P584" s="296"/>
      <c r="T584" s="292"/>
    </row>
    <row r="585" ht="12.75" customHeight="1">
      <c r="D585" s="293"/>
      <c r="E585" s="107"/>
      <c r="F585" s="294"/>
      <c r="G585" s="295"/>
      <c r="J585" s="296"/>
      <c r="K585" s="295"/>
      <c r="M585" s="296"/>
      <c r="N585" s="295"/>
      <c r="P585" s="296"/>
      <c r="T585" s="292"/>
    </row>
    <row r="586" ht="12.75" customHeight="1">
      <c r="D586" s="293"/>
      <c r="E586" s="107"/>
      <c r="F586" s="294"/>
      <c r="G586" s="295"/>
      <c r="J586" s="296"/>
      <c r="K586" s="295"/>
      <c r="M586" s="296"/>
      <c r="N586" s="295"/>
      <c r="P586" s="296"/>
      <c r="T586" s="292"/>
    </row>
    <row r="587" ht="12.75" customHeight="1">
      <c r="D587" s="293"/>
      <c r="E587" s="107"/>
      <c r="F587" s="294"/>
      <c r="G587" s="295"/>
      <c r="J587" s="296"/>
      <c r="K587" s="295"/>
      <c r="M587" s="296"/>
      <c r="N587" s="295"/>
      <c r="P587" s="296"/>
      <c r="T587" s="292"/>
    </row>
    <row r="588" ht="12.75" customHeight="1">
      <c r="D588" s="293"/>
      <c r="E588" s="107"/>
      <c r="F588" s="294"/>
      <c r="G588" s="295"/>
      <c r="J588" s="296"/>
      <c r="K588" s="295"/>
      <c r="M588" s="296"/>
      <c r="N588" s="295"/>
      <c r="P588" s="296"/>
      <c r="T588" s="292"/>
    </row>
    <row r="589" ht="12.75" customHeight="1">
      <c r="D589" s="293"/>
      <c r="E589" s="107"/>
      <c r="F589" s="294"/>
      <c r="G589" s="295"/>
      <c r="J589" s="296"/>
      <c r="K589" s="295"/>
      <c r="M589" s="296"/>
      <c r="N589" s="295"/>
      <c r="P589" s="296"/>
      <c r="T589" s="292"/>
    </row>
    <row r="590" ht="12.75" customHeight="1">
      <c r="D590" s="293"/>
      <c r="E590" s="107"/>
      <c r="F590" s="294"/>
      <c r="G590" s="295"/>
      <c r="J590" s="296"/>
      <c r="K590" s="295"/>
      <c r="M590" s="296"/>
      <c r="N590" s="295"/>
      <c r="P590" s="296"/>
      <c r="T590" s="292"/>
    </row>
    <row r="591" ht="12.75" customHeight="1">
      <c r="D591" s="293"/>
      <c r="E591" s="107"/>
      <c r="F591" s="294"/>
      <c r="G591" s="295"/>
      <c r="J591" s="296"/>
      <c r="K591" s="295"/>
      <c r="M591" s="296"/>
      <c r="N591" s="295"/>
      <c r="P591" s="296"/>
      <c r="T591" s="292"/>
    </row>
    <row r="592" ht="12.75" customHeight="1">
      <c r="D592" s="293"/>
      <c r="E592" s="107"/>
      <c r="F592" s="294"/>
      <c r="G592" s="295"/>
      <c r="J592" s="296"/>
      <c r="K592" s="295"/>
      <c r="M592" s="296"/>
      <c r="N592" s="295"/>
      <c r="P592" s="296"/>
      <c r="T592" s="292"/>
    </row>
    <row r="593" ht="12.75" customHeight="1">
      <c r="D593" s="293"/>
      <c r="E593" s="107"/>
      <c r="F593" s="294"/>
      <c r="G593" s="295"/>
      <c r="J593" s="296"/>
      <c r="K593" s="295"/>
      <c r="M593" s="296"/>
      <c r="N593" s="295"/>
      <c r="P593" s="296"/>
      <c r="T593" s="292"/>
    </row>
    <row r="594" ht="12.75" customHeight="1">
      <c r="D594" s="293"/>
      <c r="E594" s="107"/>
      <c r="F594" s="294"/>
      <c r="G594" s="295"/>
      <c r="J594" s="296"/>
      <c r="K594" s="295"/>
      <c r="M594" s="296"/>
      <c r="N594" s="295"/>
      <c r="P594" s="296"/>
      <c r="T594" s="292"/>
    </row>
    <row r="595" ht="12.75" customHeight="1">
      <c r="D595" s="293"/>
      <c r="E595" s="107"/>
      <c r="F595" s="294"/>
      <c r="G595" s="295"/>
      <c r="J595" s="296"/>
      <c r="K595" s="295"/>
      <c r="M595" s="296"/>
      <c r="N595" s="295"/>
      <c r="P595" s="296"/>
      <c r="T595" s="292"/>
    </row>
    <row r="596" ht="12.75" customHeight="1">
      <c r="D596" s="293"/>
      <c r="E596" s="107"/>
      <c r="F596" s="294"/>
      <c r="G596" s="295"/>
      <c r="J596" s="296"/>
      <c r="K596" s="295"/>
      <c r="M596" s="296"/>
      <c r="N596" s="295"/>
      <c r="P596" s="296"/>
      <c r="T596" s="292"/>
    </row>
    <row r="597" ht="12.75" customHeight="1">
      <c r="D597" s="293"/>
      <c r="E597" s="107"/>
      <c r="F597" s="294"/>
      <c r="G597" s="295"/>
      <c r="J597" s="296"/>
      <c r="K597" s="295"/>
      <c r="M597" s="296"/>
      <c r="N597" s="295"/>
      <c r="P597" s="296"/>
      <c r="T597" s="292"/>
    </row>
    <row r="598" ht="12.75" customHeight="1">
      <c r="D598" s="293"/>
      <c r="E598" s="107"/>
      <c r="F598" s="294"/>
      <c r="G598" s="295"/>
      <c r="J598" s="296"/>
      <c r="K598" s="295"/>
      <c r="M598" s="296"/>
      <c r="N598" s="295"/>
      <c r="P598" s="296"/>
      <c r="T598" s="292"/>
    </row>
    <row r="599" ht="12.75" customHeight="1">
      <c r="D599" s="293"/>
      <c r="E599" s="107"/>
      <c r="F599" s="294"/>
      <c r="G599" s="295"/>
      <c r="J599" s="296"/>
      <c r="K599" s="295"/>
      <c r="M599" s="296"/>
      <c r="N599" s="295"/>
      <c r="P599" s="296"/>
      <c r="T599" s="292"/>
    </row>
    <row r="600" ht="12.75" customHeight="1">
      <c r="D600" s="293"/>
      <c r="E600" s="107"/>
      <c r="F600" s="294"/>
      <c r="G600" s="295"/>
      <c r="J600" s="296"/>
      <c r="K600" s="295"/>
      <c r="M600" s="296"/>
      <c r="N600" s="295"/>
      <c r="P600" s="296"/>
      <c r="T600" s="292"/>
    </row>
    <row r="601" ht="12.75" customHeight="1">
      <c r="D601" s="293"/>
      <c r="E601" s="107"/>
      <c r="F601" s="294"/>
      <c r="G601" s="295"/>
      <c r="J601" s="296"/>
      <c r="K601" s="295"/>
      <c r="M601" s="296"/>
      <c r="N601" s="295"/>
      <c r="P601" s="296"/>
      <c r="T601" s="292"/>
    </row>
    <row r="602" ht="12.75" customHeight="1">
      <c r="D602" s="293"/>
      <c r="E602" s="107"/>
      <c r="F602" s="294"/>
      <c r="G602" s="295"/>
      <c r="J602" s="296"/>
      <c r="K602" s="295"/>
      <c r="M602" s="296"/>
      <c r="N602" s="295"/>
      <c r="P602" s="296"/>
      <c r="T602" s="292"/>
    </row>
    <row r="603" ht="12.75" customHeight="1">
      <c r="D603" s="293"/>
      <c r="E603" s="107"/>
      <c r="F603" s="294"/>
      <c r="G603" s="295"/>
      <c r="J603" s="296"/>
      <c r="K603" s="295"/>
      <c r="M603" s="296"/>
      <c r="N603" s="295"/>
      <c r="P603" s="296"/>
      <c r="T603" s="292"/>
    </row>
    <row r="604" ht="12.75" customHeight="1">
      <c r="D604" s="293"/>
      <c r="E604" s="107"/>
      <c r="F604" s="294"/>
      <c r="G604" s="295"/>
      <c r="J604" s="296"/>
      <c r="K604" s="295"/>
      <c r="M604" s="296"/>
      <c r="N604" s="295"/>
      <c r="P604" s="296"/>
      <c r="T604" s="292"/>
    </row>
    <row r="605" ht="12.75" customHeight="1">
      <c r="D605" s="293"/>
      <c r="E605" s="107"/>
      <c r="F605" s="294"/>
      <c r="G605" s="295"/>
      <c r="J605" s="296"/>
      <c r="K605" s="295"/>
      <c r="M605" s="296"/>
      <c r="N605" s="295"/>
      <c r="P605" s="296"/>
      <c r="T605" s="292"/>
    </row>
    <row r="606" ht="12.75" customHeight="1">
      <c r="D606" s="293"/>
      <c r="E606" s="107"/>
      <c r="F606" s="294"/>
      <c r="G606" s="295"/>
      <c r="J606" s="296"/>
      <c r="K606" s="295"/>
      <c r="M606" s="296"/>
      <c r="N606" s="295"/>
      <c r="P606" s="296"/>
      <c r="T606" s="292"/>
    </row>
    <row r="607" ht="12.75" customHeight="1">
      <c r="D607" s="293"/>
      <c r="E607" s="107"/>
      <c r="F607" s="294"/>
      <c r="G607" s="295"/>
      <c r="J607" s="296"/>
      <c r="K607" s="295"/>
      <c r="M607" s="296"/>
      <c r="N607" s="295"/>
      <c r="P607" s="296"/>
      <c r="T607" s="292"/>
    </row>
    <row r="608" ht="12.75" customHeight="1">
      <c r="D608" s="293"/>
      <c r="E608" s="107"/>
      <c r="F608" s="294"/>
      <c r="G608" s="295"/>
      <c r="J608" s="296"/>
      <c r="K608" s="295"/>
      <c r="M608" s="296"/>
      <c r="N608" s="295"/>
      <c r="P608" s="296"/>
      <c r="T608" s="292"/>
    </row>
    <row r="609" ht="12.75" customHeight="1">
      <c r="D609" s="293"/>
      <c r="E609" s="107"/>
      <c r="F609" s="294"/>
      <c r="G609" s="295"/>
      <c r="J609" s="296"/>
      <c r="K609" s="295"/>
      <c r="M609" s="296"/>
      <c r="N609" s="295"/>
      <c r="P609" s="296"/>
      <c r="T609" s="292"/>
    </row>
    <row r="610" ht="12.75" customHeight="1">
      <c r="D610" s="293"/>
      <c r="E610" s="107"/>
      <c r="F610" s="294"/>
      <c r="G610" s="295"/>
      <c r="J610" s="296"/>
      <c r="K610" s="295"/>
      <c r="M610" s="296"/>
      <c r="N610" s="295"/>
      <c r="P610" s="296"/>
      <c r="T610" s="292"/>
    </row>
    <row r="611" ht="12.75" customHeight="1">
      <c r="D611" s="293"/>
      <c r="E611" s="107"/>
      <c r="F611" s="294"/>
      <c r="G611" s="295"/>
      <c r="J611" s="296"/>
      <c r="K611" s="295"/>
      <c r="M611" s="296"/>
      <c r="N611" s="295"/>
      <c r="P611" s="296"/>
      <c r="T611" s="292"/>
    </row>
    <row r="612" ht="12.75" customHeight="1">
      <c r="D612" s="293"/>
      <c r="E612" s="107"/>
      <c r="F612" s="294"/>
      <c r="G612" s="295"/>
      <c r="J612" s="296"/>
      <c r="K612" s="295"/>
      <c r="M612" s="296"/>
      <c r="N612" s="295"/>
      <c r="P612" s="296"/>
      <c r="T612" s="292"/>
    </row>
    <row r="613" ht="12.75" customHeight="1">
      <c r="D613" s="293"/>
      <c r="E613" s="107"/>
      <c r="F613" s="294"/>
      <c r="G613" s="295"/>
      <c r="J613" s="296"/>
      <c r="K613" s="295"/>
      <c r="M613" s="296"/>
      <c r="N613" s="295"/>
      <c r="P613" s="296"/>
      <c r="T613" s="292"/>
    </row>
    <row r="614" ht="12.75" customHeight="1">
      <c r="D614" s="293"/>
      <c r="E614" s="107"/>
      <c r="F614" s="294"/>
      <c r="G614" s="295"/>
      <c r="J614" s="296"/>
      <c r="K614" s="295"/>
      <c r="M614" s="296"/>
      <c r="N614" s="295"/>
      <c r="P614" s="296"/>
      <c r="T614" s="292"/>
    </row>
    <row r="615" ht="12.75" customHeight="1">
      <c r="D615" s="293"/>
      <c r="E615" s="107"/>
      <c r="F615" s="294"/>
      <c r="G615" s="295"/>
      <c r="J615" s="296"/>
      <c r="K615" s="295"/>
      <c r="M615" s="296"/>
      <c r="N615" s="295"/>
      <c r="P615" s="296"/>
      <c r="T615" s="292"/>
    </row>
    <row r="616" ht="12.75" customHeight="1">
      <c r="D616" s="293"/>
      <c r="E616" s="107"/>
      <c r="F616" s="294"/>
      <c r="G616" s="295"/>
      <c r="J616" s="296"/>
      <c r="K616" s="295"/>
      <c r="M616" s="296"/>
      <c r="N616" s="295"/>
      <c r="P616" s="296"/>
      <c r="T616" s="292"/>
    </row>
    <row r="617" ht="12.75" customHeight="1">
      <c r="D617" s="293"/>
      <c r="E617" s="107"/>
      <c r="F617" s="294"/>
      <c r="G617" s="295"/>
      <c r="J617" s="296"/>
      <c r="K617" s="295"/>
      <c r="M617" s="296"/>
      <c r="N617" s="295"/>
      <c r="P617" s="296"/>
      <c r="T617" s="292"/>
    </row>
    <row r="618" ht="12.75" customHeight="1">
      <c r="D618" s="293"/>
      <c r="E618" s="107"/>
      <c r="F618" s="294"/>
      <c r="G618" s="295"/>
      <c r="J618" s="296"/>
      <c r="K618" s="295"/>
      <c r="M618" s="296"/>
      <c r="N618" s="295"/>
      <c r="P618" s="296"/>
      <c r="T618" s="292"/>
    </row>
    <row r="619" ht="12.75" customHeight="1">
      <c r="D619" s="293"/>
      <c r="E619" s="107"/>
      <c r="F619" s="294"/>
      <c r="G619" s="295"/>
      <c r="J619" s="296"/>
      <c r="K619" s="295"/>
      <c r="M619" s="296"/>
      <c r="N619" s="295"/>
      <c r="P619" s="296"/>
      <c r="T619" s="292"/>
    </row>
    <row r="620" ht="12.75" customHeight="1">
      <c r="D620" s="293"/>
      <c r="E620" s="107"/>
      <c r="F620" s="294"/>
      <c r="G620" s="295"/>
      <c r="J620" s="296"/>
      <c r="K620" s="295"/>
      <c r="M620" s="296"/>
      <c r="N620" s="295"/>
      <c r="P620" s="296"/>
      <c r="T620" s="292"/>
    </row>
    <row r="621" ht="12.75" customHeight="1">
      <c r="D621" s="293"/>
      <c r="E621" s="107"/>
      <c r="F621" s="294"/>
      <c r="G621" s="295"/>
      <c r="J621" s="296"/>
      <c r="K621" s="295"/>
      <c r="M621" s="296"/>
      <c r="N621" s="295"/>
      <c r="P621" s="296"/>
      <c r="T621" s="292"/>
    </row>
    <row r="622" ht="12.75" customHeight="1">
      <c r="D622" s="293"/>
      <c r="E622" s="107"/>
      <c r="F622" s="294"/>
      <c r="G622" s="295"/>
      <c r="J622" s="296"/>
      <c r="K622" s="295"/>
      <c r="M622" s="296"/>
      <c r="N622" s="295"/>
      <c r="P622" s="296"/>
      <c r="T622" s="292"/>
    </row>
    <row r="623" ht="12.75" customHeight="1">
      <c r="D623" s="293"/>
      <c r="E623" s="107"/>
      <c r="F623" s="294"/>
      <c r="G623" s="295"/>
      <c r="J623" s="296"/>
      <c r="K623" s="295"/>
      <c r="M623" s="296"/>
      <c r="N623" s="295"/>
      <c r="P623" s="296"/>
      <c r="T623" s="292"/>
    </row>
    <row r="624" ht="12.75" customHeight="1">
      <c r="D624" s="293"/>
      <c r="E624" s="107"/>
      <c r="F624" s="294"/>
      <c r="G624" s="295"/>
      <c r="J624" s="296"/>
      <c r="K624" s="295"/>
      <c r="M624" s="296"/>
      <c r="N624" s="295"/>
      <c r="P624" s="296"/>
      <c r="T624" s="292"/>
    </row>
    <row r="625" ht="12.75" customHeight="1">
      <c r="D625" s="293"/>
      <c r="E625" s="107"/>
      <c r="F625" s="294"/>
      <c r="G625" s="295"/>
      <c r="J625" s="296"/>
      <c r="K625" s="295"/>
      <c r="M625" s="296"/>
      <c r="N625" s="295"/>
      <c r="P625" s="296"/>
      <c r="T625" s="292"/>
    </row>
    <row r="626" ht="12.75" customHeight="1">
      <c r="D626" s="293"/>
      <c r="E626" s="107"/>
      <c r="F626" s="294"/>
      <c r="G626" s="295"/>
      <c r="J626" s="296"/>
      <c r="K626" s="295"/>
      <c r="M626" s="296"/>
      <c r="N626" s="295"/>
      <c r="P626" s="296"/>
      <c r="T626" s="292"/>
    </row>
    <row r="627" ht="12.75" customHeight="1">
      <c r="D627" s="293"/>
      <c r="E627" s="107"/>
      <c r="F627" s="294"/>
      <c r="G627" s="295"/>
      <c r="J627" s="296"/>
      <c r="K627" s="295"/>
      <c r="M627" s="296"/>
      <c r="N627" s="295"/>
      <c r="P627" s="296"/>
      <c r="T627" s="292"/>
    </row>
    <row r="628" ht="12.75" customHeight="1">
      <c r="D628" s="293"/>
      <c r="E628" s="107"/>
      <c r="F628" s="294"/>
      <c r="G628" s="295"/>
      <c r="J628" s="296"/>
      <c r="K628" s="295"/>
      <c r="M628" s="296"/>
      <c r="N628" s="295"/>
      <c r="P628" s="296"/>
      <c r="T628" s="292"/>
    </row>
    <row r="629" ht="12.75" customHeight="1">
      <c r="D629" s="293"/>
      <c r="E629" s="107"/>
      <c r="F629" s="294"/>
      <c r="G629" s="295"/>
      <c r="J629" s="296"/>
      <c r="K629" s="295"/>
      <c r="M629" s="296"/>
      <c r="N629" s="295"/>
      <c r="P629" s="296"/>
      <c r="T629" s="292"/>
    </row>
    <row r="630" ht="12.75" customHeight="1">
      <c r="D630" s="293"/>
      <c r="E630" s="107"/>
      <c r="F630" s="294"/>
      <c r="G630" s="295"/>
      <c r="J630" s="296"/>
      <c r="K630" s="295"/>
      <c r="M630" s="296"/>
      <c r="N630" s="295"/>
      <c r="P630" s="296"/>
      <c r="T630" s="292"/>
    </row>
    <row r="631" ht="12.75" customHeight="1">
      <c r="D631" s="293"/>
      <c r="E631" s="107"/>
      <c r="F631" s="294"/>
      <c r="G631" s="295"/>
      <c r="J631" s="296"/>
      <c r="K631" s="295"/>
      <c r="M631" s="296"/>
      <c r="N631" s="295"/>
      <c r="P631" s="296"/>
      <c r="T631" s="292"/>
    </row>
    <row r="632" ht="12.75" customHeight="1">
      <c r="D632" s="293"/>
      <c r="E632" s="107"/>
      <c r="F632" s="294"/>
      <c r="G632" s="295"/>
      <c r="J632" s="296"/>
      <c r="K632" s="295"/>
      <c r="M632" s="296"/>
      <c r="N632" s="295"/>
      <c r="P632" s="296"/>
      <c r="T632" s="292"/>
    </row>
    <row r="633" ht="12.75" customHeight="1">
      <c r="D633" s="293"/>
      <c r="E633" s="107"/>
      <c r="F633" s="294"/>
      <c r="G633" s="295"/>
      <c r="J633" s="296"/>
      <c r="K633" s="295"/>
      <c r="M633" s="296"/>
      <c r="N633" s="295"/>
      <c r="P633" s="296"/>
      <c r="T633" s="292"/>
    </row>
    <row r="634" ht="12.75" customHeight="1">
      <c r="D634" s="293"/>
      <c r="E634" s="107"/>
      <c r="F634" s="294"/>
      <c r="G634" s="295"/>
      <c r="J634" s="296"/>
      <c r="K634" s="295"/>
      <c r="M634" s="296"/>
      <c r="N634" s="295"/>
      <c r="P634" s="296"/>
      <c r="T634" s="292"/>
    </row>
    <row r="635" ht="12.75" customHeight="1">
      <c r="D635" s="293"/>
      <c r="E635" s="107"/>
      <c r="F635" s="294"/>
      <c r="G635" s="295"/>
      <c r="J635" s="296"/>
      <c r="K635" s="295"/>
      <c r="M635" s="296"/>
      <c r="N635" s="295"/>
      <c r="P635" s="296"/>
      <c r="T635" s="292"/>
    </row>
    <row r="636" ht="12.75" customHeight="1">
      <c r="D636" s="293"/>
      <c r="E636" s="107"/>
      <c r="F636" s="294"/>
      <c r="G636" s="295"/>
      <c r="J636" s="296"/>
      <c r="K636" s="295"/>
      <c r="M636" s="296"/>
      <c r="N636" s="295"/>
      <c r="P636" s="296"/>
      <c r="T636" s="292"/>
    </row>
    <row r="637" ht="12.75" customHeight="1">
      <c r="D637" s="293"/>
      <c r="E637" s="107"/>
      <c r="F637" s="294"/>
      <c r="G637" s="295"/>
      <c r="J637" s="296"/>
      <c r="K637" s="295"/>
      <c r="M637" s="296"/>
      <c r="N637" s="295"/>
      <c r="P637" s="296"/>
      <c r="T637" s="292"/>
    </row>
    <row r="638" ht="12.75" customHeight="1">
      <c r="D638" s="293"/>
      <c r="E638" s="107"/>
      <c r="F638" s="294"/>
      <c r="G638" s="295"/>
      <c r="J638" s="296"/>
      <c r="K638" s="295"/>
      <c r="M638" s="296"/>
      <c r="N638" s="295"/>
      <c r="P638" s="296"/>
      <c r="T638" s="292"/>
    </row>
    <row r="639" ht="12.75" customHeight="1">
      <c r="D639" s="293"/>
      <c r="E639" s="107"/>
      <c r="F639" s="294"/>
      <c r="G639" s="295"/>
      <c r="J639" s="296"/>
      <c r="K639" s="295"/>
      <c r="M639" s="296"/>
      <c r="N639" s="295"/>
      <c r="P639" s="296"/>
      <c r="T639" s="292"/>
    </row>
    <row r="640" ht="12.75" customHeight="1">
      <c r="D640" s="293"/>
      <c r="E640" s="107"/>
      <c r="F640" s="294"/>
      <c r="G640" s="295"/>
      <c r="J640" s="296"/>
      <c r="K640" s="295"/>
      <c r="M640" s="296"/>
      <c r="N640" s="295"/>
      <c r="P640" s="296"/>
      <c r="T640" s="292"/>
    </row>
    <row r="641" ht="12.75" customHeight="1">
      <c r="D641" s="293"/>
      <c r="E641" s="107"/>
      <c r="F641" s="294"/>
      <c r="G641" s="295"/>
      <c r="J641" s="296"/>
      <c r="K641" s="295"/>
      <c r="M641" s="296"/>
      <c r="N641" s="295"/>
      <c r="P641" s="296"/>
      <c r="T641" s="292"/>
    </row>
    <row r="642" ht="12.75" customHeight="1">
      <c r="D642" s="293"/>
      <c r="E642" s="107"/>
      <c r="F642" s="294"/>
      <c r="G642" s="295"/>
      <c r="J642" s="296"/>
      <c r="K642" s="295"/>
      <c r="M642" s="296"/>
      <c r="N642" s="295"/>
      <c r="P642" s="296"/>
      <c r="T642" s="292"/>
    </row>
    <row r="643" ht="12.75" customHeight="1">
      <c r="D643" s="293"/>
      <c r="E643" s="107"/>
      <c r="F643" s="294"/>
      <c r="G643" s="295"/>
      <c r="J643" s="296"/>
      <c r="K643" s="295"/>
      <c r="M643" s="296"/>
      <c r="N643" s="295"/>
      <c r="P643" s="296"/>
      <c r="T643" s="292"/>
    </row>
    <row r="644" ht="12.75" customHeight="1">
      <c r="D644" s="293"/>
      <c r="E644" s="107"/>
      <c r="F644" s="294"/>
      <c r="G644" s="295"/>
      <c r="J644" s="296"/>
      <c r="K644" s="295"/>
      <c r="M644" s="296"/>
      <c r="N644" s="295"/>
      <c r="P644" s="296"/>
      <c r="T644" s="292"/>
    </row>
    <row r="645" ht="12.75" customHeight="1">
      <c r="D645" s="293"/>
      <c r="E645" s="107"/>
      <c r="F645" s="294"/>
      <c r="G645" s="295"/>
      <c r="J645" s="296"/>
      <c r="K645" s="295"/>
      <c r="M645" s="296"/>
      <c r="N645" s="295"/>
      <c r="P645" s="296"/>
      <c r="T645" s="292"/>
    </row>
    <row r="646" ht="12.75" customHeight="1">
      <c r="D646" s="293"/>
      <c r="E646" s="107"/>
      <c r="F646" s="294"/>
      <c r="G646" s="295"/>
      <c r="J646" s="296"/>
      <c r="K646" s="295"/>
      <c r="M646" s="296"/>
      <c r="N646" s="295"/>
      <c r="P646" s="296"/>
      <c r="T646" s="292"/>
    </row>
    <row r="647" ht="12.75" customHeight="1">
      <c r="D647" s="293"/>
      <c r="E647" s="107"/>
      <c r="F647" s="294"/>
      <c r="G647" s="295"/>
      <c r="J647" s="296"/>
      <c r="K647" s="295"/>
      <c r="M647" s="296"/>
      <c r="N647" s="295"/>
      <c r="P647" s="296"/>
      <c r="T647" s="292"/>
    </row>
    <row r="648" ht="12.75" customHeight="1">
      <c r="D648" s="293"/>
      <c r="E648" s="107"/>
      <c r="F648" s="294"/>
      <c r="G648" s="295"/>
      <c r="J648" s="296"/>
      <c r="K648" s="295"/>
      <c r="M648" s="296"/>
      <c r="N648" s="295"/>
      <c r="P648" s="296"/>
      <c r="T648" s="292"/>
    </row>
    <row r="649" ht="12.75" customHeight="1">
      <c r="D649" s="293"/>
      <c r="E649" s="107"/>
      <c r="F649" s="294"/>
      <c r="G649" s="295"/>
      <c r="J649" s="296"/>
      <c r="K649" s="295"/>
      <c r="M649" s="296"/>
      <c r="N649" s="295"/>
      <c r="P649" s="296"/>
      <c r="T649" s="292"/>
    </row>
    <row r="650" ht="12.75" customHeight="1">
      <c r="D650" s="293"/>
      <c r="E650" s="107"/>
      <c r="F650" s="294"/>
      <c r="G650" s="295"/>
      <c r="J650" s="296"/>
      <c r="K650" s="295"/>
      <c r="M650" s="296"/>
      <c r="N650" s="295"/>
      <c r="P650" s="296"/>
      <c r="T650" s="292"/>
    </row>
    <row r="651" ht="12.75" customHeight="1">
      <c r="D651" s="293"/>
      <c r="E651" s="107"/>
      <c r="F651" s="294"/>
      <c r="G651" s="295"/>
      <c r="J651" s="296"/>
      <c r="K651" s="295"/>
      <c r="M651" s="296"/>
      <c r="N651" s="295"/>
      <c r="P651" s="296"/>
      <c r="T651" s="292"/>
    </row>
    <row r="652" ht="12.75" customHeight="1">
      <c r="D652" s="293"/>
      <c r="E652" s="107"/>
      <c r="F652" s="294"/>
      <c r="G652" s="295"/>
      <c r="J652" s="296"/>
      <c r="K652" s="295"/>
      <c r="M652" s="296"/>
      <c r="N652" s="295"/>
      <c r="P652" s="296"/>
      <c r="T652" s="292"/>
    </row>
    <row r="653" ht="12.75" customHeight="1">
      <c r="D653" s="293"/>
      <c r="E653" s="107"/>
      <c r="F653" s="294"/>
      <c r="G653" s="295"/>
      <c r="J653" s="296"/>
      <c r="K653" s="295"/>
      <c r="M653" s="296"/>
      <c r="N653" s="295"/>
      <c r="P653" s="296"/>
      <c r="T653" s="292"/>
    </row>
    <row r="654" ht="12.75" customHeight="1">
      <c r="D654" s="293"/>
      <c r="E654" s="107"/>
      <c r="F654" s="294"/>
      <c r="G654" s="295"/>
      <c r="J654" s="296"/>
      <c r="K654" s="295"/>
      <c r="M654" s="296"/>
      <c r="N654" s="295"/>
      <c r="P654" s="296"/>
      <c r="T654" s="292"/>
    </row>
    <row r="655" ht="12.75" customHeight="1">
      <c r="D655" s="293"/>
      <c r="E655" s="107"/>
      <c r="F655" s="294"/>
      <c r="G655" s="295"/>
      <c r="J655" s="296"/>
      <c r="K655" s="295"/>
      <c r="M655" s="296"/>
      <c r="N655" s="295"/>
      <c r="P655" s="296"/>
      <c r="T655" s="292"/>
    </row>
    <row r="656" ht="12.75" customHeight="1">
      <c r="D656" s="293"/>
      <c r="E656" s="107"/>
      <c r="F656" s="294"/>
      <c r="G656" s="295"/>
      <c r="J656" s="296"/>
      <c r="K656" s="295"/>
      <c r="M656" s="296"/>
      <c r="N656" s="295"/>
      <c r="P656" s="296"/>
      <c r="T656" s="292"/>
    </row>
    <row r="657" ht="12.75" customHeight="1">
      <c r="D657" s="293"/>
      <c r="E657" s="107"/>
      <c r="F657" s="294"/>
      <c r="G657" s="295"/>
      <c r="J657" s="296"/>
      <c r="K657" s="295"/>
      <c r="M657" s="296"/>
      <c r="N657" s="295"/>
      <c r="P657" s="296"/>
      <c r="T657" s="292"/>
    </row>
    <row r="658" ht="12.75" customHeight="1">
      <c r="D658" s="293"/>
      <c r="E658" s="107"/>
      <c r="F658" s="294"/>
      <c r="G658" s="295"/>
      <c r="J658" s="296"/>
      <c r="K658" s="295"/>
      <c r="M658" s="296"/>
      <c r="N658" s="295"/>
      <c r="P658" s="296"/>
      <c r="T658" s="292"/>
    </row>
    <row r="659" ht="12.75" customHeight="1">
      <c r="D659" s="293"/>
      <c r="E659" s="107"/>
      <c r="F659" s="294"/>
      <c r="G659" s="295"/>
      <c r="J659" s="296"/>
      <c r="K659" s="295"/>
      <c r="M659" s="296"/>
      <c r="N659" s="295"/>
      <c r="P659" s="296"/>
      <c r="T659" s="292"/>
    </row>
    <row r="660" ht="12.75" customHeight="1">
      <c r="D660" s="293"/>
      <c r="E660" s="107"/>
      <c r="F660" s="294"/>
      <c r="G660" s="295"/>
      <c r="J660" s="296"/>
      <c r="K660" s="295"/>
      <c r="M660" s="296"/>
      <c r="N660" s="295"/>
      <c r="P660" s="296"/>
      <c r="T660" s="292"/>
    </row>
    <row r="661" ht="12.75" customHeight="1">
      <c r="D661" s="293"/>
      <c r="E661" s="107"/>
      <c r="F661" s="294"/>
      <c r="G661" s="295"/>
      <c r="J661" s="296"/>
      <c r="K661" s="295"/>
      <c r="M661" s="296"/>
      <c r="N661" s="295"/>
      <c r="P661" s="296"/>
      <c r="T661" s="292"/>
    </row>
    <row r="662" ht="12.75" customHeight="1">
      <c r="D662" s="293"/>
      <c r="E662" s="107"/>
      <c r="F662" s="294"/>
      <c r="G662" s="295"/>
      <c r="J662" s="296"/>
      <c r="K662" s="295"/>
      <c r="M662" s="296"/>
      <c r="N662" s="295"/>
      <c r="P662" s="296"/>
      <c r="T662" s="292"/>
    </row>
    <row r="663" ht="12.75" customHeight="1">
      <c r="D663" s="293"/>
      <c r="E663" s="107"/>
      <c r="F663" s="294"/>
      <c r="G663" s="295"/>
      <c r="J663" s="296"/>
      <c r="K663" s="295"/>
      <c r="M663" s="296"/>
      <c r="N663" s="295"/>
      <c r="P663" s="296"/>
      <c r="T663" s="292"/>
    </row>
    <row r="664" ht="12.75" customHeight="1">
      <c r="D664" s="293"/>
      <c r="E664" s="107"/>
      <c r="F664" s="294"/>
      <c r="G664" s="295"/>
      <c r="J664" s="296"/>
      <c r="K664" s="295"/>
      <c r="M664" s="296"/>
      <c r="N664" s="295"/>
      <c r="P664" s="296"/>
      <c r="T664" s="292"/>
    </row>
    <row r="665" ht="12.75" customHeight="1">
      <c r="D665" s="293"/>
      <c r="E665" s="107"/>
      <c r="F665" s="294"/>
      <c r="G665" s="295"/>
      <c r="J665" s="296"/>
      <c r="K665" s="295"/>
      <c r="M665" s="296"/>
      <c r="N665" s="295"/>
      <c r="P665" s="296"/>
      <c r="T665" s="292"/>
    </row>
    <row r="666" ht="12.75" customHeight="1">
      <c r="D666" s="293"/>
      <c r="E666" s="107"/>
      <c r="F666" s="294"/>
      <c r="G666" s="295"/>
      <c r="J666" s="296"/>
      <c r="K666" s="295"/>
      <c r="M666" s="296"/>
      <c r="N666" s="295"/>
      <c r="P666" s="296"/>
      <c r="T666" s="292"/>
    </row>
    <row r="667" ht="12.75" customHeight="1">
      <c r="D667" s="293"/>
      <c r="E667" s="107"/>
      <c r="F667" s="294"/>
      <c r="G667" s="295"/>
      <c r="J667" s="296"/>
      <c r="K667" s="295"/>
      <c r="M667" s="296"/>
      <c r="N667" s="295"/>
      <c r="P667" s="296"/>
      <c r="T667" s="292"/>
    </row>
    <row r="668" ht="12.75" customHeight="1">
      <c r="D668" s="293"/>
      <c r="E668" s="107"/>
      <c r="F668" s="294"/>
      <c r="G668" s="295"/>
      <c r="J668" s="296"/>
      <c r="K668" s="295"/>
      <c r="M668" s="296"/>
      <c r="N668" s="295"/>
      <c r="P668" s="296"/>
      <c r="T668" s="292"/>
    </row>
    <row r="669" ht="12.75" customHeight="1">
      <c r="D669" s="293"/>
      <c r="E669" s="107"/>
      <c r="F669" s="294"/>
      <c r="G669" s="295"/>
      <c r="J669" s="296"/>
      <c r="K669" s="295"/>
      <c r="M669" s="296"/>
      <c r="N669" s="295"/>
      <c r="P669" s="296"/>
      <c r="T669" s="292"/>
    </row>
    <row r="670" ht="12.75" customHeight="1">
      <c r="D670" s="293"/>
      <c r="E670" s="107"/>
      <c r="F670" s="294"/>
      <c r="G670" s="295"/>
      <c r="J670" s="296"/>
      <c r="K670" s="295"/>
      <c r="M670" s="296"/>
      <c r="N670" s="295"/>
      <c r="P670" s="296"/>
      <c r="T670" s="292"/>
    </row>
    <row r="671" ht="12.75" customHeight="1">
      <c r="D671" s="293"/>
      <c r="E671" s="107"/>
      <c r="F671" s="294"/>
      <c r="G671" s="295"/>
      <c r="J671" s="296"/>
      <c r="K671" s="295"/>
      <c r="M671" s="296"/>
      <c r="N671" s="295"/>
      <c r="P671" s="296"/>
      <c r="T671" s="292"/>
    </row>
    <row r="672" ht="12.75" customHeight="1">
      <c r="D672" s="293"/>
      <c r="E672" s="107"/>
      <c r="F672" s="294"/>
      <c r="G672" s="295"/>
      <c r="J672" s="296"/>
      <c r="K672" s="295"/>
      <c r="M672" s="296"/>
      <c r="N672" s="295"/>
      <c r="P672" s="296"/>
      <c r="T672" s="292"/>
    </row>
    <row r="673" ht="12.75" customHeight="1">
      <c r="D673" s="293"/>
      <c r="E673" s="107"/>
      <c r="F673" s="294"/>
      <c r="G673" s="295"/>
      <c r="J673" s="296"/>
      <c r="K673" s="295"/>
      <c r="M673" s="296"/>
      <c r="N673" s="295"/>
      <c r="P673" s="296"/>
      <c r="T673" s="292"/>
    </row>
    <row r="674" ht="12.75" customHeight="1">
      <c r="D674" s="293"/>
      <c r="E674" s="107"/>
      <c r="F674" s="294"/>
      <c r="G674" s="295"/>
      <c r="J674" s="296"/>
      <c r="K674" s="295"/>
      <c r="M674" s="296"/>
      <c r="N674" s="295"/>
      <c r="P674" s="296"/>
      <c r="T674" s="292"/>
    </row>
    <row r="675" ht="12.75" customHeight="1">
      <c r="D675" s="293"/>
      <c r="E675" s="107"/>
      <c r="F675" s="294"/>
      <c r="G675" s="295"/>
      <c r="J675" s="296"/>
      <c r="K675" s="295"/>
      <c r="M675" s="296"/>
      <c r="N675" s="295"/>
      <c r="P675" s="296"/>
      <c r="T675" s="292"/>
    </row>
    <row r="676" ht="12.75" customHeight="1">
      <c r="D676" s="293"/>
      <c r="E676" s="107"/>
      <c r="F676" s="294"/>
      <c r="G676" s="295"/>
      <c r="J676" s="296"/>
      <c r="K676" s="295"/>
      <c r="M676" s="296"/>
      <c r="N676" s="295"/>
      <c r="P676" s="296"/>
      <c r="T676" s="292"/>
    </row>
    <row r="677" ht="12.75" customHeight="1">
      <c r="D677" s="293"/>
      <c r="E677" s="107"/>
      <c r="F677" s="294"/>
      <c r="G677" s="295"/>
      <c r="J677" s="296"/>
      <c r="K677" s="295"/>
      <c r="M677" s="296"/>
      <c r="N677" s="295"/>
      <c r="P677" s="296"/>
      <c r="T677" s="292"/>
    </row>
    <row r="678" ht="12.75" customHeight="1">
      <c r="D678" s="293"/>
      <c r="E678" s="107"/>
      <c r="F678" s="294"/>
      <c r="G678" s="295"/>
      <c r="J678" s="296"/>
      <c r="K678" s="295"/>
      <c r="M678" s="296"/>
      <c r="N678" s="295"/>
      <c r="P678" s="296"/>
      <c r="T678" s="292"/>
    </row>
    <row r="679" ht="12.75" customHeight="1">
      <c r="D679" s="293"/>
      <c r="E679" s="107"/>
      <c r="F679" s="294"/>
      <c r="G679" s="295"/>
      <c r="J679" s="296"/>
      <c r="K679" s="295"/>
      <c r="M679" s="296"/>
      <c r="N679" s="295"/>
      <c r="P679" s="296"/>
      <c r="T679" s="292"/>
    </row>
    <row r="680" ht="12.75" customHeight="1">
      <c r="D680" s="293"/>
      <c r="E680" s="107"/>
      <c r="F680" s="294"/>
      <c r="G680" s="295"/>
      <c r="J680" s="296"/>
      <c r="K680" s="295"/>
      <c r="M680" s="296"/>
      <c r="N680" s="295"/>
      <c r="P680" s="296"/>
      <c r="T680" s="292"/>
    </row>
    <row r="681" ht="12.75" customHeight="1">
      <c r="D681" s="293"/>
      <c r="E681" s="107"/>
      <c r="F681" s="294"/>
      <c r="G681" s="295"/>
      <c r="J681" s="296"/>
      <c r="K681" s="295"/>
      <c r="M681" s="296"/>
      <c r="N681" s="295"/>
      <c r="P681" s="296"/>
      <c r="T681" s="292"/>
    </row>
    <row r="682" ht="12.75" customHeight="1">
      <c r="D682" s="293"/>
      <c r="E682" s="107"/>
      <c r="F682" s="294"/>
      <c r="G682" s="295"/>
      <c r="J682" s="296"/>
      <c r="K682" s="295"/>
      <c r="M682" s="296"/>
      <c r="N682" s="295"/>
      <c r="P682" s="296"/>
      <c r="T682" s="292"/>
    </row>
    <row r="683" ht="12.75" customHeight="1">
      <c r="D683" s="293"/>
      <c r="E683" s="107"/>
      <c r="F683" s="294"/>
      <c r="G683" s="295"/>
      <c r="J683" s="296"/>
      <c r="K683" s="295"/>
      <c r="M683" s="296"/>
      <c r="N683" s="295"/>
      <c r="P683" s="296"/>
      <c r="T683" s="292"/>
    </row>
    <row r="684" ht="12.75" customHeight="1">
      <c r="D684" s="293"/>
      <c r="E684" s="107"/>
      <c r="F684" s="294"/>
      <c r="G684" s="295"/>
      <c r="J684" s="296"/>
      <c r="K684" s="295"/>
      <c r="M684" s="296"/>
      <c r="N684" s="295"/>
      <c r="P684" s="296"/>
      <c r="T684" s="292"/>
    </row>
    <row r="685" ht="12.75" customHeight="1">
      <c r="D685" s="293"/>
      <c r="E685" s="107"/>
      <c r="F685" s="294"/>
      <c r="G685" s="295"/>
      <c r="J685" s="296"/>
      <c r="K685" s="295"/>
      <c r="M685" s="296"/>
      <c r="N685" s="295"/>
      <c r="P685" s="296"/>
      <c r="T685" s="292"/>
    </row>
    <row r="686" ht="12.75" customHeight="1">
      <c r="D686" s="293"/>
      <c r="E686" s="107"/>
      <c r="F686" s="294"/>
      <c r="G686" s="295"/>
      <c r="J686" s="296"/>
      <c r="K686" s="295"/>
      <c r="M686" s="296"/>
      <c r="N686" s="295"/>
      <c r="P686" s="296"/>
      <c r="T686" s="292"/>
    </row>
    <row r="687" ht="12.75" customHeight="1">
      <c r="D687" s="293"/>
      <c r="E687" s="107"/>
      <c r="F687" s="294"/>
      <c r="G687" s="295"/>
      <c r="J687" s="296"/>
      <c r="K687" s="295"/>
      <c r="M687" s="296"/>
      <c r="N687" s="295"/>
      <c r="P687" s="296"/>
      <c r="T687" s="292"/>
    </row>
    <row r="688" ht="12.75" customHeight="1">
      <c r="D688" s="293"/>
      <c r="E688" s="107"/>
      <c r="F688" s="294"/>
      <c r="G688" s="295"/>
      <c r="J688" s="296"/>
      <c r="K688" s="295"/>
      <c r="M688" s="296"/>
      <c r="N688" s="295"/>
      <c r="P688" s="296"/>
      <c r="T688" s="292"/>
    </row>
    <row r="689" ht="12.75" customHeight="1">
      <c r="D689" s="293"/>
      <c r="E689" s="107"/>
      <c r="F689" s="294"/>
      <c r="G689" s="295"/>
      <c r="J689" s="296"/>
      <c r="K689" s="295"/>
      <c r="M689" s="296"/>
      <c r="N689" s="295"/>
      <c r="P689" s="296"/>
      <c r="T689" s="292"/>
    </row>
    <row r="690" ht="12.75" customHeight="1">
      <c r="D690" s="293"/>
      <c r="E690" s="107"/>
      <c r="F690" s="294"/>
      <c r="G690" s="295"/>
      <c r="J690" s="296"/>
      <c r="K690" s="295"/>
      <c r="M690" s="296"/>
      <c r="N690" s="295"/>
      <c r="P690" s="296"/>
      <c r="T690" s="292"/>
    </row>
    <row r="691" ht="12.75" customHeight="1">
      <c r="D691" s="293"/>
      <c r="E691" s="107"/>
      <c r="F691" s="294"/>
      <c r="G691" s="295"/>
      <c r="J691" s="296"/>
      <c r="K691" s="295"/>
      <c r="M691" s="296"/>
      <c r="N691" s="295"/>
      <c r="P691" s="296"/>
      <c r="T691" s="292"/>
    </row>
    <row r="692" ht="12.75" customHeight="1">
      <c r="D692" s="293"/>
      <c r="E692" s="107"/>
      <c r="F692" s="294"/>
      <c r="G692" s="295"/>
      <c r="J692" s="296"/>
      <c r="K692" s="295"/>
      <c r="M692" s="296"/>
      <c r="N692" s="295"/>
      <c r="P692" s="296"/>
      <c r="T692" s="292"/>
    </row>
    <row r="693" ht="12.75" customHeight="1">
      <c r="D693" s="293"/>
      <c r="E693" s="107"/>
      <c r="F693" s="294"/>
      <c r="G693" s="295"/>
      <c r="J693" s="296"/>
      <c r="K693" s="295"/>
      <c r="M693" s="296"/>
      <c r="N693" s="295"/>
      <c r="P693" s="296"/>
      <c r="T693" s="292"/>
    </row>
    <row r="694" ht="12.75" customHeight="1">
      <c r="D694" s="293"/>
      <c r="E694" s="107"/>
      <c r="F694" s="294"/>
      <c r="G694" s="295"/>
      <c r="J694" s="296"/>
      <c r="K694" s="295"/>
      <c r="M694" s="296"/>
      <c r="N694" s="295"/>
      <c r="P694" s="296"/>
      <c r="T694" s="292"/>
    </row>
    <row r="695" ht="12.75" customHeight="1">
      <c r="D695" s="293"/>
      <c r="E695" s="107"/>
      <c r="F695" s="294"/>
      <c r="G695" s="295"/>
      <c r="J695" s="296"/>
      <c r="K695" s="295"/>
      <c r="M695" s="296"/>
      <c r="N695" s="295"/>
      <c r="P695" s="296"/>
      <c r="T695" s="292"/>
    </row>
    <row r="696" ht="12.75" customHeight="1">
      <c r="D696" s="293"/>
      <c r="E696" s="107"/>
      <c r="F696" s="294"/>
      <c r="G696" s="295"/>
      <c r="J696" s="296"/>
      <c r="K696" s="295"/>
      <c r="M696" s="296"/>
      <c r="N696" s="295"/>
      <c r="P696" s="296"/>
      <c r="T696" s="292"/>
    </row>
    <row r="697" ht="12.75" customHeight="1">
      <c r="D697" s="293"/>
      <c r="E697" s="107"/>
      <c r="F697" s="294"/>
      <c r="G697" s="295"/>
      <c r="J697" s="296"/>
      <c r="K697" s="295"/>
      <c r="M697" s="296"/>
      <c r="N697" s="295"/>
      <c r="P697" s="296"/>
      <c r="T697" s="292"/>
    </row>
    <row r="698" ht="12.75" customHeight="1">
      <c r="D698" s="293"/>
      <c r="E698" s="107"/>
      <c r="F698" s="294"/>
      <c r="G698" s="295"/>
      <c r="J698" s="296"/>
      <c r="K698" s="295"/>
      <c r="M698" s="296"/>
      <c r="N698" s="295"/>
      <c r="P698" s="296"/>
      <c r="T698" s="292"/>
    </row>
    <row r="699" ht="12.75" customHeight="1">
      <c r="D699" s="293"/>
      <c r="E699" s="107"/>
      <c r="F699" s="294"/>
      <c r="G699" s="295"/>
      <c r="J699" s="296"/>
      <c r="K699" s="295"/>
      <c r="M699" s="296"/>
      <c r="N699" s="295"/>
      <c r="P699" s="296"/>
      <c r="T699" s="292"/>
    </row>
    <row r="700" ht="12.75" customHeight="1">
      <c r="D700" s="293"/>
      <c r="E700" s="107"/>
      <c r="F700" s="294"/>
      <c r="G700" s="295"/>
      <c r="J700" s="296"/>
      <c r="K700" s="295"/>
      <c r="M700" s="296"/>
      <c r="N700" s="295"/>
      <c r="P700" s="296"/>
      <c r="T700" s="292"/>
    </row>
    <row r="701" ht="12.75" customHeight="1">
      <c r="D701" s="293"/>
      <c r="E701" s="107"/>
      <c r="F701" s="294"/>
      <c r="G701" s="295"/>
      <c r="J701" s="296"/>
      <c r="K701" s="295"/>
      <c r="M701" s="296"/>
      <c r="N701" s="295"/>
      <c r="P701" s="296"/>
      <c r="T701" s="292"/>
    </row>
    <row r="702" ht="12.75" customHeight="1">
      <c r="D702" s="293"/>
      <c r="E702" s="107"/>
      <c r="F702" s="294"/>
      <c r="G702" s="295"/>
      <c r="J702" s="296"/>
      <c r="K702" s="295"/>
      <c r="M702" s="296"/>
      <c r="N702" s="295"/>
      <c r="P702" s="296"/>
      <c r="T702" s="292"/>
    </row>
    <row r="703" ht="12.75" customHeight="1">
      <c r="D703" s="293"/>
      <c r="E703" s="107"/>
      <c r="F703" s="294"/>
      <c r="G703" s="295"/>
      <c r="J703" s="296"/>
      <c r="K703" s="295"/>
      <c r="M703" s="296"/>
      <c r="N703" s="295"/>
      <c r="P703" s="296"/>
      <c r="T703" s="292"/>
    </row>
    <row r="704" ht="12.75" customHeight="1">
      <c r="D704" s="293"/>
      <c r="E704" s="107"/>
      <c r="F704" s="294"/>
      <c r="G704" s="295"/>
      <c r="J704" s="296"/>
      <c r="K704" s="295"/>
      <c r="M704" s="296"/>
      <c r="N704" s="295"/>
      <c r="P704" s="296"/>
      <c r="T704" s="292"/>
    </row>
    <row r="705" ht="12.75" customHeight="1">
      <c r="D705" s="293"/>
      <c r="E705" s="107"/>
      <c r="F705" s="294"/>
      <c r="G705" s="295"/>
      <c r="J705" s="296"/>
      <c r="K705" s="295"/>
      <c r="M705" s="296"/>
      <c r="N705" s="295"/>
      <c r="P705" s="296"/>
      <c r="T705" s="292"/>
    </row>
    <row r="706" ht="12.75" customHeight="1">
      <c r="D706" s="293"/>
      <c r="E706" s="107"/>
      <c r="F706" s="294"/>
      <c r="G706" s="295"/>
      <c r="J706" s="296"/>
      <c r="K706" s="295"/>
      <c r="M706" s="296"/>
      <c r="N706" s="295"/>
      <c r="P706" s="296"/>
      <c r="T706" s="292"/>
    </row>
    <row r="707" ht="12.75" customHeight="1">
      <c r="D707" s="293"/>
      <c r="E707" s="107"/>
      <c r="F707" s="294"/>
      <c r="G707" s="295"/>
      <c r="J707" s="296"/>
      <c r="K707" s="295"/>
      <c r="M707" s="296"/>
      <c r="N707" s="295"/>
      <c r="P707" s="296"/>
      <c r="T707" s="292"/>
    </row>
    <row r="708" ht="12.75" customHeight="1">
      <c r="D708" s="293"/>
      <c r="E708" s="107"/>
      <c r="F708" s="294"/>
      <c r="G708" s="295"/>
      <c r="J708" s="296"/>
      <c r="K708" s="295"/>
      <c r="M708" s="296"/>
      <c r="N708" s="295"/>
      <c r="P708" s="296"/>
      <c r="T708" s="292"/>
    </row>
    <row r="709" ht="12.75" customHeight="1">
      <c r="D709" s="293"/>
      <c r="E709" s="107"/>
      <c r="F709" s="294"/>
      <c r="G709" s="295"/>
      <c r="J709" s="296"/>
      <c r="K709" s="295"/>
      <c r="M709" s="296"/>
      <c r="N709" s="295"/>
      <c r="P709" s="296"/>
      <c r="T709" s="292"/>
    </row>
    <row r="710" ht="12.75" customHeight="1">
      <c r="D710" s="293"/>
      <c r="E710" s="107"/>
      <c r="F710" s="294"/>
      <c r="G710" s="295"/>
      <c r="J710" s="296"/>
      <c r="K710" s="295"/>
      <c r="M710" s="296"/>
      <c r="N710" s="295"/>
      <c r="P710" s="296"/>
      <c r="T710" s="292"/>
    </row>
    <row r="711" ht="12.75" customHeight="1">
      <c r="D711" s="293"/>
      <c r="E711" s="107"/>
      <c r="F711" s="294"/>
      <c r="G711" s="295"/>
      <c r="J711" s="296"/>
      <c r="K711" s="295"/>
      <c r="M711" s="296"/>
      <c r="N711" s="295"/>
      <c r="P711" s="296"/>
      <c r="T711" s="292"/>
    </row>
    <row r="712" ht="12.75" customHeight="1">
      <c r="D712" s="293"/>
      <c r="E712" s="107"/>
      <c r="F712" s="294"/>
      <c r="G712" s="295"/>
      <c r="J712" s="296"/>
      <c r="K712" s="295"/>
      <c r="M712" s="296"/>
      <c r="N712" s="295"/>
      <c r="P712" s="296"/>
      <c r="T712" s="292"/>
    </row>
    <row r="713" ht="12.75" customHeight="1">
      <c r="D713" s="293"/>
      <c r="E713" s="107"/>
      <c r="F713" s="294"/>
      <c r="G713" s="295"/>
      <c r="J713" s="296"/>
      <c r="K713" s="295"/>
      <c r="M713" s="296"/>
      <c r="N713" s="295"/>
      <c r="P713" s="296"/>
      <c r="T713" s="292"/>
    </row>
    <row r="714" ht="12.75" customHeight="1">
      <c r="D714" s="293"/>
      <c r="E714" s="107"/>
      <c r="F714" s="294"/>
      <c r="G714" s="295"/>
      <c r="J714" s="296"/>
      <c r="K714" s="295"/>
      <c r="M714" s="296"/>
      <c r="N714" s="295"/>
      <c r="P714" s="296"/>
      <c r="T714" s="292"/>
    </row>
    <row r="715" ht="12.75" customHeight="1">
      <c r="D715" s="293"/>
      <c r="E715" s="107"/>
      <c r="F715" s="294"/>
      <c r="G715" s="295"/>
      <c r="J715" s="296"/>
      <c r="K715" s="295"/>
      <c r="M715" s="296"/>
      <c r="N715" s="295"/>
      <c r="P715" s="296"/>
      <c r="T715" s="292"/>
    </row>
    <row r="716" ht="12.75" customHeight="1">
      <c r="D716" s="293"/>
      <c r="E716" s="107"/>
      <c r="F716" s="294"/>
      <c r="G716" s="295"/>
      <c r="J716" s="296"/>
      <c r="K716" s="295"/>
      <c r="M716" s="296"/>
      <c r="N716" s="295"/>
      <c r="P716" s="296"/>
      <c r="T716" s="292"/>
    </row>
    <row r="717" ht="12.75" customHeight="1">
      <c r="D717" s="293"/>
      <c r="E717" s="107"/>
      <c r="F717" s="294"/>
      <c r="G717" s="295"/>
      <c r="J717" s="296"/>
      <c r="K717" s="295"/>
      <c r="M717" s="296"/>
      <c r="N717" s="295"/>
      <c r="P717" s="296"/>
      <c r="T717" s="292"/>
    </row>
    <row r="718" ht="12.75" customHeight="1">
      <c r="D718" s="293"/>
      <c r="E718" s="107"/>
      <c r="F718" s="294"/>
      <c r="G718" s="295"/>
      <c r="J718" s="296"/>
      <c r="K718" s="295"/>
      <c r="M718" s="296"/>
      <c r="N718" s="295"/>
      <c r="P718" s="296"/>
      <c r="T718" s="292"/>
    </row>
    <row r="719" ht="12.75" customHeight="1">
      <c r="D719" s="293"/>
      <c r="E719" s="107"/>
      <c r="F719" s="294"/>
      <c r="G719" s="295"/>
      <c r="J719" s="296"/>
      <c r="K719" s="295"/>
      <c r="M719" s="296"/>
      <c r="N719" s="295"/>
      <c r="P719" s="296"/>
      <c r="T719" s="292"/>
    </row>
    <row r="720" ht="12.75" customHeight="1">
      <c r="D720" s="293"/>
      <c r="E720" s="107"/>
      <c r="F720" s="294"/>
      <c r="G720" s="295"/>
      <c r="J720" s="296"/>
      <c r="K720" s="295"/>
      <c r="M720" s="296"/>
      <c r="N720" s="295"/>
      <c r="P720" s="296"/>
      <c r="T720" s="292"/>
    </row>
    <row r="721" ht="12.75" customHeight="1">
      <c r="D721" s="293"/>
      <c r="E721" s="107"/>
      <c r="F721" s="294"/>
      <c r="G721" s="295"/>
      <c r="J721" s="296"/>
      <c r="K721" s="295"/>
      <c r="M721" s="296"/>
      <c r="N721" s="295"/>
      <c r="P721" s="296"/>
      <c r="T721" s="292"/>
    </row>
    <row r="722" ht="12.75" customHeight="1">
      <c r="D722" s="293"/>
      <c r="E722" s="107"/>
      <c r="F722" s="294"/>
      <c r="G722" s="295"/>
      <c r="J722" s="296"/>
      <c r="K722" s="295"/>
      <c r="M722" s="296"/>
      <c r="N722" s="295"/>
      <c r="P722" s="296"/>
      <c r="T722" s="292"/>
    </row>
    <row r="723" ht="12.75" customHeight="1">
      <c r="D723" s="293"/>
      <c r="E723" s="107"/>
      <c r="F723" s="294"/>
      <c r="G723" s="295"/>
      <c r="J723" s="296"/>
      <c r="K723" s="295"/>
      <c r="M723" s="296"/>
      <c r="N723" s="295"/>
      <c r="P723" s="296"/>
      <c r="T723" s="292"/>
    </row>
    <row r="724" ht="12.75" customHeight="1">
      <c r="D724" s="293"/>
      <c r="E724" s="107"/>
      <c r="F724" s="294"/>
      <c r="G724" s="295"/>
      <c r="J724" s="296"/>
      <c r="K724" s="295"/>
      <c r="M724" s="296"/>
      <c r="N724" s="295"/>
      <c r="P724" s="296"/>
      <c r="T724" s="292"/>
    </row>
    <row r="725" ht="12.75" customHeight="1">
      <c r="D725" s="293"/>
      <c r="E725" s="107"/>
      <c r="F725" s="294"/>
      <c r="G725" s="295"/>
      <c r="J725" s="296"/>
      <c r="K725" s="295"/>
      <c r="M725" s="296"/>
      <c r="N725" s="295"/>
      <c r="P725" s="296"/>
      <c r="T725" s="292"/>
    </row>
    <row r="726" ht="12.75" customHeight="1">
      <c r="D726" s="293"/>
      <c r="E726" s="107"/>
      <c r="F726" s="294"/>
      <c r="G726" s="295"/>
      <c r="J726" s="296"/>
      <c r="K726" s="295"/>
      <c r="M726" s="296"/>
      <c r="N726" s="295"/>
      <c r="P726" s="296"/>
      <c r="T726" s="292"/>
    </row>
    <row r="727" ht="12.75" customHeight="1">
      <c r="D727" s="293"/>
      <c r="E727" s="107"/>
      <c r="F727" s="294"/>
      <c r="G727" s="295"/>
      <c r="J727" s="296"/>
      <c r="K727" s="295"/>
      <c r="M727" s="296"/>
      <c r="N727" s="295"/>
      <c r="P727" s="296"/>
      <c r="T727" s="292"/>
    </row>
    <row r="728" ht="12.75" customHeight="1">
      <c r="D728" s="293"/>
      <c r="E728" s="107"/>
      <c r="F728" s="294"/>
      <c r="G728" s="295"/>
      <c r="J728" s="296"/>
      <c r="K728" s="295"/>
      <c r="M728" s="296"/>
      <c r="N728" s="295"/>
      <c r="P728" s="296"/>
      <c r="T728" s="292"/>
    </row>
    <row r="729" ht="12.75" customHeight="1">
      <c r="D729" s="293"/>
      <c r="E729" s="107"/>
      <c r="F729" s="294"/>
      <c r="G729" s="295"/>
      <c r="J729" s="296"/>
      <c r="K729" s="295"/>
      <c r="M729" s="296"/>
      <c r="N729" s="295"/>
      <c r="P729" s="296"/>
      <c r="T729" s="292"/>
    </row>
    <row r="730" ht="12.75" customHeight="1">
      <c r="D730" s="293"/>
      <c r="E730" s="107"/>
      <c r="F730" s="294"/>
      <c r="G730" s="295"/>
      <c r="J730" s="296"/>
      <c r="K730" s="295"/>
      <c r="M730" s="296"/>
      <c r="N730" s="295"/>
      <c r="P730" s="296"/>
      <c r="T730" s="292"/>
    </row>
    <row r="731" ht="12.75" customHeight="1">
      <c r="D731" s="293"/>
      <c r="E731" s="107"/>
      <c r="F731" s="294"/>
      <c r="G731" s="295"/>
      <c r="J731" s="296"/>
      <c r="K731" s="295"/>
      <c r="M731" s="296"/>
      <c r="N731" s="295"/>
      <c r="P731" s="296"/>
      <c r="T731" s="292"/>
    </row>
    <row r="732" ht="12.75" customHeight="1">
      <c r="D732" s="293"/>
      <c r="E732" s="107"/>
      <c r="F732" s="294"/>
      <c r="G732" s="295"/>
      <c r="J732" s="296"/>
      <c r="K732" s="295"/>
      <c r="M732" s="296"/>
      <c r="N732" s="295"/>
      <c r="P732" s="296"/>
      <c r="T732" s="292"/>
    </row>
    <row r="733" ht="12.75" customHeight="1">
      <c r="D733" s="293"/>
      <c r="E733" s="107"/>
      <c r="F733" s="294"/>
      <c r="G733" s="295"/>
      <c r="J733" s="296"/>
      <c r="K733" s="295"/>
      <c r="M733" s="296"/>
      <c r="N733" s="295"/>
      <c r="P733" s="296"/>
      <c r="T733" s="292"/>
    </row>
    <row r="734" ht="12.75" customHeight="1">
      <c r="D734" s="293"/>
      <c r="E734" s="107"/>
      <c r="F734" s="294"/>
      <c r="G734" s="295"/>
      <c r="J734" s="296"/>
      <c r="K734" s="295"/>
      <c r="M734" s="296"/>
      <c r="N734" s="295"/>
      <c r="P734" s="296"/>
      <c r="T734" s="292"/>
    </row>
    <row r="735" ht="12.75" customHeight="1">
      <c r="D735" s="293"/>
      <c r="E735" s="107"/>
      <c r="F735" s="294"/>
      <c r="G735" s="295"/>
      <c r="J735" s="296"/>
      <c r="K735" s="295"/>
      <c r="M735" s="296"/>
      <c r="N735" s="295"/>
      <c r="P735" s="296"/>
      <c r="T735" s="292"/>
    </row>
    <row r="736" ht="12.75" customHeight="1">
      <c r="D736" s="293"/>
      <c r="E736" s="107"/>
      <c r="F736" s="294"/>
      <c r="G736" s="295"/>
      <c r="J736" s="296"/>
      <c r="K736" s="295"/>
      <c r="M736" s="296"/>
      <c r="N736" s="295"/>
      <c r="P736" s="296"/>
      <c r="T736" s="292"/>
    </row>
    <row r="737" ht="12.75" customHeight="1">
      <c r="D737" s="293"/>
      <c r="E737" s="107"/>
      <c r="F737" s="294"/>
      <c r="G737" s="295"/>
      <c r="J737" s="296"/>
      <c r="K737" s="295"/>
      <c r="M737" s="296"/>
      <c r="N737" s="295"/>
      <c r="P737" s="296"/>
      <c r="T737" s="292"/>
    </row>
    <row r="738" ht="12.75" customHeight="1">
      <c r="D738" s="293"/>
      <c r="E738" s="107"/>
      <c r="F738" s="294"/>
      <c r="G738" s="295"/>
      <c r="J738" s="296"/>
      <c r="K738" s="295"/>
      <c r="M738" s="296"/>
      <c r="N738" s="295"/>
      <c r="P738" s="296"/>
      <c r="T738" s="292"/>
    </row>
    <row r="739" ht="12.75" customHeight="1">
      <c r="D739" s="293"/>
      <c r="E739" s="107"/>
      <c r="F739" s="294"/>
      <c r="G739" s="295"/>
      <c r="J739" s="296"/>
      <c r="K739" s="295"/>
      <c r="M739" s="296"/>
      <c r="N739" s="295"/>
      <c r="P739" s="296"/>
      <c r="T739" s="292"/>
    </row>
    <row r="740" ht="12.75" customHeight="1">
      <c r="D740" s="293"/>
      <c r="E740" s="107"/>
      <c r="F740" s="294"/>
      <c r="G740" s="295"/>
      <c r="J740" s="296"/>
      <c r="K740" s="295"/>
      <c r="M740" s="296"/>
      <c r="N740" s="295"/>
      <c r="P740" s="296"/>
      <c r="T740" s="292"/>
    </row>
    <row r="741" ht="12.75" customHeight="1">
      <c r="D741" s="293"/>
      <c r="E741" s="107"/>
      <c r="F741" s="294"/>
      <c r="G741" s="295"/>
      <c r="J741" s="296"/>
      <c r="K741" s="295"/>
      <c r="M741" s="296"/>
      <c r="N741" s="295"/>
      <c r="P741" s="296"/>
      <c r="T741" s="292"/>
    </row>
    <row r="742" ht="12.75" customHeight="1">
      <c r="D742" s="293"/>
      <c r="E742" s="107"/>
      <c r="F742" s="294"/>
      <c r="G742" s="295"/>
      <c r="J742" s="296"/>
      <c r="K742" s="295"/>
      <c r="M742" s="296"/>
      <c r="N742" s="295"/>
      <c r="P742" s="296"/>
      <c r="T742" s="292"/>
    </row>
    <row r="743" ht="12.75" customHeight="1">
      <c r="D743" s="293"/>
      <c r="E743" s="107"/>
      <c r="F743" s="294"/>
      <c r="G743" s="295"/>
      <c r="J743" s="296"/>
      <c r="K743" s="295"/>
      <c r="M743" s="296"/>
      <c r="N743" s="295"/>
      <c r="P743" s="296"/>
      <c r="T743" s="292"/>
    </row>
    <row r="744" ht="12.75" customHeight="1">
      <c r="D744" s="293"/>
      <c r="E744" s="107"/>
      <c r="F744" s="294"/>
      <c r="G744" s="295"/>
      <c r="J744" s="296"/>
      <c r="K744" s="295"/>
      <c r="M744" s="296"/>
      <c r="N744" s="295"/>
      <c r="P744" s="296"/>
      <c r="T744" s="292"/>
    </row>
    <row r="745" ht="12.75" customHeight="1">
      <c r="D745" s="293"/>
      <c r="E745" s="107"/>
      <c r="F745" s="294"/>
      <c r="G745" s="295"/>
      <c r="J745" s="296"/>
      <c r="K745" s="295"/>
      <c r="M745" s="296"/>
      <c r="N745" s="295"/>
      <c r="P745" s="296"/>
      <c r="T745" s="292"/>
    </row>
    <row r="746" ht="12.75" customHeight="1">
      <c r="D746" s="293"/>
      <c r="E746" s="107"/>
      <c r="F746" s="294"/>
      <c r="G746" s="295"/>
      <c r="J746" s="296"/>
      <c r="K746" s="295"/>
      <c r="M746" s="296"/>
      <c r="N746" s="295"/>
      <c r="P746" s="296"/>
      <c r="T746" s="292"/>
    </row>
    <row r="747" ht="12.75" customHeight="1">
      <c r="D747" s="293"/>
      <c r="E747" s="107"/>
      <c r="F747" s="294"/>
      <c r="G747" s="295"/>
      <c r="J747" s="296"/>
      <c r="K747" s="295"/>
      <c r="M747" s="296"/>
      <c r="N747" s="295"/>
      <c r="P747" s="296"/>
      <c r="T747" s="292"/>
    </row>
    <row r="748" ht="12.75" customHeight="1">
      <c r="D748" s="293"/>
      <c r="E748" s="107"/>
      <c r="F748" s="294"/>
      <c r="G748" s="295"/>
      <c r="J748" s="296"/>
      <c r="K748" s="295"/>
      <c r="M748" s="296"/>
      <c r="N748" s="295"/>
      <c r="P748" s="296"/>
      <c r="T748" s="292"/>
    </row>
    <row r="749" ht="12.75" customHeight="1">
      <c r="D749" s="293"/>
      <c r="E749" s="107"/>
      <c r="F749" s="294"/>
      <c r="G749" s="295"/>
      <c r="J749" s="296"/>
      <c r="K749" s="295"/>
      <c r="M749" s="296"/>
      <c r="N749" s="295"/>
      <c r="P749" s="296"/>
      <c r="T749" s="292"/>
    </row>
    <row r="750" ht="12.75" customHeight="1">
      <c r="D750" s="293"/>
      <c r="E750" s="107"/>
      <c r="F750" s="294"/>
      <c r="G750" s="295"/>
      <c r="J750" s="296"/>
      <c r="K750" s="295"/>
      <c r="M750" s="296"/>
      <c r="N750" s="295"/>
      <c r="P750" s="296"/>
      <c r="T750" s="292"/>
    </row>
    <row r="751" ht="12.75" customHeight="1">
      <c r="D751" s="293"/>
      <c r="E751" s="107"/>
      <c r="F751" s="294"/>
      <c r="G751" s="295"/>
      <c r="J751" s="296"/>
      <c r="K751" s="295"/>
      <c r="M751" s="296"/>
      <c r="N751" s="295"/>
      <c r="P751" s="296"/>
      <c r="T751" s="292"/>
    </row>
    <row r="752" ht="12.75" customHeight="1">
      <c r="D752" s="293"/>
      <c r="E752" s="107"/>
      <c r="F752" s="294"/>
      <c r="G752" s="295"/>
      <c r="J752" s="296"/>
      <c r="K752" s="295"/>
      <c r="M752" s="296"/>
      <c r="N752" s="295"/>
      <c r="P752" s="296"/>
      <c r="T752" s="292"/>
    </row>
    <row r="753" ht="12.75" customHeight="1">
      <c r="D753" s="293"/>
      <c r="E753" s="107"/>
      <c r="F753" s="294"/>
      <c r="G753" s="295"/>
      <c r="J753" s="296"/>
      <c r="K753" s="295"/>
      <c r="M753" s="296"/>
      <c r="N753" s="295"/>
      <c r="P753" s="296"/>
      <c r="T753" s="292"/>
    </row>
    <row r="754" ht="12.75" customHeight="1">
      <c r="D754" s="293"/>
      <c r="E754" s="107"/>
      <c r="F754" s="294"/>
      <c r="G754" s="295"/>
      <c r="J754" s="296"/>
      <c r="K754" s="295"/>
      <c r="M754" s="296"/>
      <c r="N754" s="295"/>
      <c r="P754" s="296"/>
      <c r="T754" s="292"/>
    </row>
    <row r="755" ht="12.75" customHeight="1">
      <c r="D755" s="293"/>
      <c r="E755" s="107"/>
      <c r="F755" s="294"/>
      <c r="G755" s="295"/>
      <c r="J755" s="296"/>
      <c r="K755" s="295"/>
      <c r="M755" s="296"/>
      <c r="N755" s="295"/>
      <c r="P755" s="296"/>
      <c r="T755" s="292"/>
    </row>
    <row r="756" ht="12.75" customHeight="1">
      <c r="D756" s="293"/>
      <c r="E756" s="107"/>
      <c r="F756" s="294"/>
      <c r="G756" s="295"/>
      <c r="J756" s="296"/>
      <c r="K756" s="295"/>
      <c r="M756" s="296"/>
      <c r="N756" s="295"/>
      <c r="P756" s="296"/>
      <c r="T756" s="292"/>
    </row>
    <row r="757" ht="12.75" customHeight="1">
      <c r="D757" s="293"/>
      <c r="E757" s="107"/>
      <c r="F757" s="294"/>
      <c r="G757" s="295"/>
      <c r="J757" s="296"/>
      <c r="K757" s="295"/>
      <c r="M757" s="296"/>
      <c r="N757" s="295"/>
      <c r="P757" s="296"/>
      <c r="T757" s="292"/>
    </row>
    <row r="758" ht="12.75" customHeight="1">
      <c r="D758" s="293"/>
      <c r="E758" s="107"/>
      <c r="F758" s="294"/>
      <c r="G758" s="295"/>
      <c r="J758" s="296"/>
      <c r="K758" s="295"/>
      <c r="M758" s="296"/>
      <c r="N758" s="295"/>
      <c r="P758" s="296"/>
      <c r="T758" s="292"/>
    </row>
    <row r="759" ht="12.75" customHeight="1">
      <c r="D759" s="293"/>
      <c r="E759" s="107"/>
      <c r="F759" s="294"/>
      <c r="G759" s="295"/>
      <c r="J759" s="296"/>
      <c r="K759" s="295"/>
      <c r="M759" s="296"/>
      <c r="N759" s="295"/>
      <c r="P759" s="296"/>
      <c r="T759" s="292"/>
    </row>
    <row r="760" ht="12.75" customHeight="1">
      <c r="D760" s="293"/>
      <c r="E760" s="107"/>
      <c r="F760" s="294"/>
      <c r="G760" s="295"/>
      <c r="J760" s="296"/>
      <c r="K760" s="295"/>
      <c r="M760" s="296"/>
      <c r="N760" s="295"/>
      <c r="P760" s="296"/>
      <c r="T760" s="292"/>
    </row>
    <row r="761" ht="12.75" customHeight="1">
      <c r="D761" s="293"/>
      <c r="E761" s="107"/>
      <c r="F761" s="294"/>
      <c r="G761" s="295"/>
      <c r="J761" s="296"/>
      <c r="K761" s="295"/>
      <c r="M761" s="296"/>
      <c r="N761" s="295"/>
      <c r="P761" s="296"/>
      <c r="T761" s="292"/>
    </row>
    <row r="762" ht="12.75" customHeight="1">
      <c r="D762" s="293"/>
      <c r="E762" s="107"/>
      <c r="F762" s="294"/>
      <c r="G762" s="295"/>
      <c r="J762" s="296"/>
      <c r="K762" s="295"/>
      <c r="M762" s="296"/>
      <c r="N762" s="295"/>
      <c r="P762" s="296"/>
      <c r="T762" s="292"/>
    </row>
    <row r="763" ht="12.75" customHeight="1">
      <c r="D763" s="293"/>
      <c r="E763" s="107"/>
      <c r="F763" s="294"/>
      <c r="G763" s="295"/>
      <c r="J763" s="296"/>
      <c r="K763" s="295"/>
      <c r="M763" s="296"/>
      <c r="N763" s="295"/>
      <c r="P763" s="296"/>
      <c r="T763" s="292"/>
    </row>
    <row r="764" ht="12.75" customHeight="1">
      <c r="D764" s="293"/>
      <c r="E764" s="107"/>
      <c r="F764" s="294"/>
      <c r="G764" s="295"/>
      <c r="J764" s="296"/>
      <c r="K764" s="295"/>
      <c r="M764" s="296"/>
      <c r="N764" s="295"/>
      <c r="P764" s="296"/>
      <c r="T764" s="292"/>
    </row>
    <row r="765" ht="12.75" customHeight="1">
      <c r="D765" s="293"/>
      <c r="E765" s="107"/>
      <c r="F765" s="294"/>
      <c r="G765" s="295"/>
      <c r="J765" s="296"/>
      <c r="K765" s="295"/>
      <c r="M765" s="296"/>
      <c r="N765" s="295"/>
      <c r="P765" s="296"/>
      <c r="T765" s="292"/>
    </row>
    <row r="766" ht="12.75" customHeight="1">
      <c r="D766" s="293"/>
      <c r="E766" s="107"/>
      <c r="F766" s="294"/>
      <c r="G766" s="295"/>
      <c r="J766" s="296"/>
      <c r="K766" s="295"/>
      <c r="M766" s="296"/>
      <c r="N766" s="295"/>
      <c r="P766" s="296"/>
      <c r="T766" s="292"/>
    </row>
    <row r="767" ht="12.75" customHeight="1">
      <c r="D767" s="293"/>
      <c r="E767" s="107"/>
      <c r="F767" s="294"/>
      <c r="G767" s="295"/>
      <c r="J767" s="296"/>
      <c r="K767" s="295"/>
      <c r="M767" s="296"/>
      <c r="N767" s="295"/>
      <c r="P767" s="296"/>
      <c r="T767" s="292"/>
    </row>
    <row r="768" ht="12.75" customHeight="1">
      <c r="D768" s="293"/>
      <c r="E768" s="107"/>
      <c r="F768" s="294"/>
      <c r="G768" s="295"/>
      <c r="J768" s="296"/>
      <c r="K768" s="295"/>
      <c r="M768" s="296"/>
      <c r="N768" s="295"/>
      <c r="P768" s="296"/>
      <c r="T768" s="292"/>
    </row>
    <row r="769" ht="12.75" customHeight="1">
      <c r="D769" s="293"/>
      <c r="E769" s="107"/>
      <c r="F769" s="294"/>
      <c r="G769" s="295"/>
      <c r="J769" s="296"/>
      <c r="K769" s="295"/>
      <c r="M769" s="296"/>
      <c r="N769" s="295"/>
      <c r="P769" s="296"/>
      <c r="T769" s="292"/>
    </row>
    <row r="770" ht="12.75" customHeight="1">
      <c r="D770" s="293"/>
      <c r="E770" s="107"/>
      <c r="F770" s="294"/>
      <c r="G770" s="295"/>
      <c r="J770" s="296"/>
      <c r="K770" s="295"/>
      <c r="M770" s="296"/>
      <c r="N770" s="295"/>
      <c r="P770" s="296"/>
      <c r="T770" s="292"/>
    </row>
    <row r="771" ht="12.75" customHeight="1">
      <c r="D771" s="293"/>
      <c r="E771" s="107"/>
      <c r="F771" s="294"/>
      <c r="G771" s="295"/>
      <c r="J771" s="296"/>
      <c r="K771" s="295"/>
      <c r="M771" s="296"/>
      <c r="N771" s="295"/>
      <c r="P771" s="296"/>
      <c r="T771" s="292"/>
    </row>
    <row r="772" ht="12.75" customHeight="1">
      <c r="D772" s="293"/>
      <c r="E772" s="107"/>
      <c r="F772" s="294"/>
      <c r="G772" s="295"/>
      <c r="J772" s="296"/>
      <c r="K772" s="295"/>
      <c r="M772" s="296"/>
      <c r="N772" s="295"/>
      <c r="P772" s="296"/>
      <c r="T772" s="292"/>
    </row>
    <row r="773" ht="12.75" customHeight="1">
      <c r="D773" s="293"/>
      <c r="E773" s="107"/>
      <c r="F773" s="294"/>
      <c r="G773" s="295"/>
      <c r="J773" s="296"/>
      <c r="K773" s="295"/>
      <c r="M773" s="296"/>
      <c r="N773" s="295"/>
      <c r="P773" s="296"/>
      <c r="T773" s="292"/>
    </row>
    <row r="774" ht="12.75" customHeight="1">
      <c r="D774" s="293"/>
      <c r="E774" s="107"/>
      <c r="F774" s="294"/>
      <c r="G774" s="295"/>
      <c r="J774" s="296"/>
      <c r="K774" s="295"/>
      <c r="M774" s="296"/>
      <c r="N774" s="295"/>
      <c r="P774" s="296"/>
      <c r="T774" s="292"/>
    </row>
    <row r="775" ht="12.75" customHeight="1">
      <c r="D775" s="293"/>
      <c r="E775" s="107"/>
      <c r="F775" s="294"/>
      <c r="G775" s="295"/>
      <c r="J775" s="296"/>
      <c r="K775" s="295"/>
      <c r="M775" s="296"/>
      <c r="N775" s="295"/>
      <c r="P775" s="296"/>
      <c r="T775" s="292"/>
    </row>
    <row r="776" ht="12.75" customHeight="1">
      <c r="D776" s="293"/>
      <c r="E776" s="107"/>
      <c r="F776" s="294"/>
      <c r="G776" s="295"/>
      <c r="J776" s="296"/>
      <c r="K776" s="295"/>
      <c r="M776" s="296"/>
      <c r="N776" s="295"/>
      <c r="P776" s="296"/>
      <c r="T776" s="292"/>
    </row>
    <row r="777" ht="12.75" customHeight="1">
      <c r="D777" s="293"/>
      <c r="E777" s="107"/>
      <c r="F777" s="294"/>
      <c r="G777" s="295"/>
      <c r="J777" s="296"/>
      <c r="K777" s="295"/>
      <c r="M777" s="296"/>
      <c r="N777" s="295"/>
      <c r="P777" s="296"/>
      <c r="T777" s="292"/>
    </row>
    <row r="778" ht="12.75" customHeight="1">
      <c r="D778" s="293"/>
      <c r="E778" s="107"/>
      <c r="F778" s="294"/>
      <c r="G778" s="295"/>
      <c r="J778" s="296"/>
      <c r="K778" s="295"/>
      <c r="M778" s="296"/>
      <c r="N778" s="295"/>
      <c r="P778" s="296"/>
      <c r="T778" s="292"/>
    </row>
    <row r="779" ht="12.75" customHeight="1">
      <c r="D779" s="293"/>
      <c r="E779" s="107"/>
      <c r="F779" s="294"/>
      <c r="G779" s="295"/>
      <c r="J779" s="296"/>
      <c r="K779" s="295"/>
      <c r="M779" s="296"/>
      <c r="N779" s="295"/>
      <c r="P779" s="296"/>
      <c r="T779" s="292"/>
    </row>
    <row r="780" ht="12.75" customHeight="1">
      <c r="D780" s="293"/>
      <c r="E780" s="107"/>
      <c r="F780" s="294"/>
      <c r="G780" s="295"/>
      <c r="J780" s="296"/>
      <c r="K780" s="295"/>
      <c r="M780" s="296"/>
      <c r="N780" s="295"/>
      <c r="P780" s="296"/>
      <c r="T780" s="292"/>
    </row>
    <row r="781" ht="12.75" customHeight="1">
      <c r="D781" s="293"/>
      <c r="E781" s="107"/>
      <c r="F781" s="294"/>
      <c r="G781" s="295"/>
      <c r="J781" s="296"/>
      <c r="K781" s="295"/>
      <c r="M781" s="296"/>
      <c r="N781" s="295"/>
      <c r="P781" s="296"/>
      <c r="T781" s="292"/>
    </row>
    <row r="782" ht="12.75" customHeight="1">
      <c r="D782" s="293"/>
      <c r="E782" s="107"/>
      <c r="F782" s="294"/>
      <c r="G782" s="295"/>
      <c r="J782" s="296"/>
      <c r="K782" s="295"/>
      <c r="M782" s="296"/>
      <c r="N782" s="295"/>
      <c r="P782" s="296"/>
      <c r="T782" s="292"/>
    </row>
    <row r="783" ht="12.75" customHeight="1">
      <c r="D783" s="293"/>
      <c r="E783" s="107"/>
      <c r="F783" s="294"/>
      <c r="G783" s="295"/>
      <c r="J783" s="296"/>
      <c r="K783" s="295"/>
      <c r="M783" s="296"/>
      <c r="N783" s="295"/>
      <c r="P783" s="296"/>
      <c r="T783" s="292"/>
    </row>
    <row r="784" ht="12.75" customHeight="1">
      <c r="D784" s="293"/>
      <c r="E784" s="107"/>
      <c r="F784" s="294"/>
      <c r="G784" s="295"/>
      <c r="J784" s="296"/>
      <c r="K784" s="295"/>
      <c r="M784" s="296"/>
      <c r="N784" s="295"/>
      <c r="P784" s="296"/>
      <c r="T784" s="292"/>
    </row>
    <row r="785" ht="12.75" customHeight="1">
      <c r="D785" s="293"/>
      <c r="E785" s="107"/>
      <c r="F785" s="294"/>
      <c r="G785" s="295"/>
      <c r="J785" s="296"/>
      <c r="K785" s="295"/>
      <c r="M785" s="296"/>
      <c r="N785" s="295"/>
      <c r="P785" s="296"/>
      <c r="T785" s="292"/>
    </row>
    <row r="786" ht="12.75" customHeight="1">
      <c r="D786" s="293"/>
      <c r="E786" s="107"/>
      <c r="F786" s="294"/>
      <c r="G786" s="295"/>
      <c r="J786" s="296"/>
      <c r="K786" s="295"/>
      <c r="M786" s="296"/>
      <c r="N786" s="295"/>
      <c r="P786" s="296"/>
      <c r="T786" s="292"/>
    </row>
    <row r="787" ht="12.75" customHeight="1">
      <c r="D787" s="293"/>
      <c r="E787" s="107"/>
      <c r="F787" s="294"/>
      <c r="G787" s="295"/>
      <c r="J787" s="296"/>
      <c r="K787" s="295"/>
      <c r="M787" s="296"/>
      <c r="N787" s="295"/>
      <c r="P787" s="296"/>
      <c r="T787" s="292"/>
    </row>
    <row r="788" ht="12.75" customHeight="1">
      <c r="D788" s="293"/>
      <c r="E788" s="107"/>
      <c r="F788" s="294"/>
      <c r="G788" s="295"/>
      <c r="J788" s="296"/>
      <c r="K788" s="295"/>
      <c r="M788" s="296"/>
      <c r="N788" s="295"/>
      <c r="P788" s="296"/>
      <c r="T788" s="292"/>
    </row>
    <row r="789" ht="12.75" customHeight="1">
      <c r="D789" s="293"/>
      <c r="E789" s="107"/>
      <c r="F789" s="294"/>
      <c r="G789" s="295"/>
      <c r="J789" s="296"/>
      <c r="K789" s="295"/>
      <c r="M789" s="296"/>
      <c r="N789" s="295"/>
      <c r="P789" s="296"/>
      <c r="T789" s="292"/>
    </row>
    <row r="790" ht="12.75" customHeight="1">
      <c r="D790" s="293"/>
      <c r="E790" s="107"/>
      <c r="F790" s="294"/>
      <c r="G790" s="295"/>
      <c r="J790" s="296"/>
      <c r="K790" s="295"/>
      <c r="M790" s="296"/>
      <c r="N790" s="295"/>
      <c r="P790" s="296"/>
      <c r="T790" s="292"/>
    </row>
    <row r="791" ht="12.75" customHeight="1">
      <c r="D791" s="293"/>
      <c r="E791" s="107"/>
      <c r="F791" s="294"/>
      <c r="G791" s="295"/>
      <c r="J791" s="296"/>
      <c r="K791" s="295"/>
      <c r="M791" s="296"/>
      <c r="N791" s="295"/>
      <c r="P791" s="296"/>
      <c r="T791" s="292"/>
    </row>
    <row r="792" ht="12.75" customHeight="1">
      <c r="D792" s="293"/>
      <c r="E792" s="107"/>
      <c r="F792" s="294"/>
      <c r="G792" s="295"/>
      <c r="J792" s="296"/>
      <c r="K792" s="295"/>
      <c r="M792" s="296"/>
      <c r="N792" s="295"/>
      <c r="P792" s="296"/>
      <c r="T792" s="292"/>
    </row>
    <row r="793" ht="12.75" customHeight="1">
      <c r="D793" s="293"/>
      <c r="E793" s="107"/>
      <c r="F793" s="294"/>
      <c r="G793" s="295"/>
      <c r="J793" s="296"/>
      <c r="K793" s="295"/>
      <c r="M793" s="296"/>
      <c r="N793" s="295"/>
      <c r="P793" s="296"/>
      <c r="T793" s="292"/>
    </row>
    <row r="794" ht="12.75" customHeight="1">
      <c r="D794" s="293"/>
      <c r="E794" s="107"/>
      <c r="F794" s="294"/>
      <c r="G794" s="295"/>
      <c r="J794" s="296"/>
      <c r="K794" s="295"/>
      <c r="M794" s="296"/>
      <c r="N794" s="295"/>
      <c r="P794" s="296"/>
      <c r="T794" s="292"/>
    </row>
    <row r="795" ht="12.75" customHeight="1">
      <c r="D795" s="293"/>
      <c r="E795" s="107"/>
      <c r="F795" s="294"/>
      <c r="G795" s="295"/>
      <c r="J795" s="296"/>
      <c r="K795" s="295"/>
      <c r="M795" s="296"/>
      <c r="N795" s="295"/>
      <c r="P795" s="296"/>
      <c r="T795" s="292"/>
    </row>
    <row r="796" ht="12.75" customHeight="1">
      <c r="D796" s="293"/>
      <c r="E796" s="107"/>
      <c r="F796" s="294"/>
      <c r="G796" s="295"/>
      <c r="J796" s="296"/>
      <c r="K796" s="295"/>
      <c r="M796" s="296"/>
      <c r="N796" s="295"/>
      <c r="P796" s="296"/>
      <c r="T796" s="292"/>
    </row>
    <row r="797" ht="12.75" customHeight="1">
      <c r="D797" s="293"/>
      <c r="E797" s="107"/>
      <c r="F797" s="294"/>
      <c r="G797" s="295"/>
      <c r="J797" s="296"/>
      <c r="K797" s="295"/>
      <c r="M797" s="296"/>
      <c r="N797" s="295"/>
      <c r="P797" s="296"/>
      <c r="T797" s="292"/>
    </row>
    <row r="798" ht="12.75" customHeight="1">
      <c r="D798" s="293"/>
      <c r="E798" s="107"/>
      <c r="F798" s="294"/>
      <c r="G798" s="295"/>
      <c r="J798" s="296"/>
      <c r="K798" s="295"/>
      <c r="M798" s="296"/>
      <c r="N798" s="295"/>
      <c r="P798" s="296"/>
      <c r="T798" s="292"/>
    </row>
    <row r="799" ht="12.75" customHeight="1">
      <c r="D799" s="293"/>
      <c r="E799" s="107"/>
      <c r="F799" s="294"/>
      <c r="G799" s="295"/>
      <c r="J799" s="296"/>
      <c r="K799" s="295"/>
      <c r="M799" s="296"/>
      <c r="N799" s="295"/>
      <c r="P799" s="296"/>
      <c r="T799" s="292"/>
    </row>
    <row r="800" ht="12.75" customHeight="1">
      <c r="D800" s="293"/>
      <c r="E800" s="107"/>
      <c r="F800" s="294"/>
      <c r="G800" s="295"/>
      <c r="J800" s="296"/>
      <c r="K800" s="295"/>
      <c r="M800" s="296"/>
      <c r="N800" s="295"/>
      <c r="P800" s="296"/>
      <c r="T800" s="292"/>
    </row>
    <row r="801" ht="12.75" customHeight="1">
      <c r="D801" s="293"/>
      <c r="E801" s="107"/>
      <c r="F801" s="294"/>
      <c r="G801" s="295"/>
      <c r="J801" s="296"/>
      <c r="K801" s="295"/>
      <c r="M801" s="296"/>
      <c r="N801" s="295"/>
      <c r="P801" s="296"/>
      <c r="T801" s="292"/>
    </row>
    <row r="802" ht="12.75" customHeight="1">
      <c r="D802" s="293"/>
      <c r="E802" s="107"/>
      <c r="F802" s="294"/>
      <c r="G802" s="295"/>
      <c r="J802" s="296"/>
      <c r="K802" s="295"/>
      <c r="M802" s="296"/>
      <c r="N802" s="295"/>
      <c r="P802" s="296"/>
      <c r="T802" s="292"/>
    </row>
    <row r="803" ht="12.75" customHeight="1">
      <c r="D803" s="293"/>
      <c r="E803" s="107"/>
      <c r="F803" s="294"/>
      <c r="G803" s="295"/>
      <c r="J803" s="296"/>
      <c r="K803" s="295"/>
      <c r="M803" s="296"/>
      <c r="N803" s="295"/>
      <c r="P803" s="296"/>
      <c r="T803" s="292"/>
    </row>
    <row r="804" ht="12.75" customHeight="1">
      <c r="D804" s="293"/>
      <c r="E804" s="107"/>
      <c r="F804" s="294"/>
      <c r="G804" s="295"/>
      <c r="J804" s="296"/>
      <c r="K804" s="295"/>
      <c r="M804" s="296"/>
      <c r="N804" s="295"/>
      <c r="P804" s="296"/>
      <c r="T804" s="292"/>
    </row>
    <row r="805" ht="12.75" customHeight="1">
      <c r="D805" s="293"/>
      <c r="E805" s="107"/>
      <c r="F805" s="294"/>
      <c r="G805" s="295"/>
      <c r="J805" s="296"/>
      <c r="K805" s="295"/>
      <c r="M805" s="296"/>
      <c r="N805" s="295"/>
      <c r="P805" s="296"/>
      <c r="T805" s="292"/>
    </row>
    <row r="806" ht="12.75" customHeight="1">
      <c r="D806" s="293"/>
      <c r="E806" s="107"/>
      <c r="F806" s="294"/>
      <c r="G806" s="295"/>
      <c r="J806" s="296"/>
      <c r="K806" s="295"/>
      <c r="M806" s="296"/>
      <c r="N806" s="295"/>
      <c r="P806" s="296"/>
      <c r="T806" s="292"/>
    </row>
    <row r="807" ht="12.75" customHeight="1">
      <c r="D807" s="293"/>
      <c r="E807" s="107"/>
      <c r="F807" s="294"/>
      <c r="G807" s="295"/>
      <c r="J807" s="296"/>
      <c r="K807" s="295"/>
      <c r="M807" s="296"/>
      <c r="N807" s="295"/>
      <c r="P807" s="296"/>
      <c r="T807" s="292"/>
    </row>
    <row r="808" ht="12.75" customHeight="1">
      <c r="D808" s="293"/>
      <c r="E808" s="107"/>
      <c r="F808" s="294"/>
      <c r="G808" s="295"/>
      <c r="J808" s="296"/>
      <c r="K808" s="295"/>
      <c r="M808" s="296"/>
      <c r="N808" s="295"/>
      <c r="P808" s="296"/>
      <c r="T808" s="292"/>
    </row>
    <row r="809" ht="12.75" customHeight="1">
      <c r="D809" s="293"/>
      <c r="E809" s="107"/>
      <c r="F809" s="294"/>
      <c r="G809" s="295"/>
      <c r="J809" s="296"/>
      <c r="K809" s="295"/>
      <c r="M809" s="296"/>
      <c r="N809" s="295"/>
      <c r="P809" s="296"/>
      <c r="T809" s="292"/>
    </row>
    <row r="810" ht="12.75" customHeight="1">
      <c r="D810" s="293"/>
      <c r="E810" s="107"/>
      <c r="F810" s="294"/>
      <c r="G810" s="295"/>
      <c r="J810" s="296"/>
      <c r="K810" s="295"/>
      <c r="M810" s="296"/>
      <c r="N810" s="295"/>
      <c r="P810" s="296"/>
      <c r="T810" s="292"/>
    </row>
    <row r="811" ht="12.75" customHeight="1">
      <c r="D811" s="293"/>
      <c r="E811" s="107"/>
      <c r="F811" s="294"/>
      <c r="G811" s="295"/>
      <c r="J811" s="296"/>
      <c r="K811" s="295"/>
      <c r="M811" s="296"/>
      <c r="N811" s="295"/>
      <c r="P811" s="296"/>
      <c r="T811" s="292"/>
    </row>
    <row r="812" ht="12.75" customHeight="1">
      <c r="D812" s="293"/>
      <c r="E812" s="107"/>
      <c r="F812" s="294"/>
      <c r="G812" s="295"/>
      <c r="J812" s="296"/>
      <c r="K812" s="295"/>
      <c r="M812" s="296"/>
      <c r="N812" s="295"/>
      <c r="P812" s="296"/>
      <c r="T812" s="292"/>
    </row>
    <row r="813" ht="12.75" customHeight="1">
      <c r="D813" s="293"/>
      <c r="E813" s="107"/>
      <c r="F813" s="294"/>
      <c r="G813" s="295"/>
      <c r="J813" s="296"/>
      <c r="K813" s="295"/>
      <c r="M813" s="296"/>
      <c r="N813" s="295"/>
      <c r="P813" s="296"/>
      <c r="T813" s="292"/>
    </row>
    <row r="814" ht="12.75" customHeight="1">
      <c r="D814" s="293"/>
      <c r="E814" s="107"/>
      <c r="F814" s="294"/>
      <c r="G814" s="295"/>
      <c r="J814" s="296"/>
      <c r="K814" s="295"/>
      <c r="M814" s="296"/>
      <c r="N814" s="295"/>
      <c r="P814" s="296"/>
      <c r="T814" s="292"/>
    </row>
    <row r="815" ht="12.75" customHeight="1">
      <c r="D815" s="293"/>
      <c r="E815" s="107"/>
      <c r="F815" s="294"/>
      <c r="G815" s="295"/>
      <c r="J815" s="296"/>
      <c r="K815" s="295"/>
      <c r="M815" s="296"/>
      <c r="N815" s="295"/>
      <c r="P815" s="296"/>
      <c r="T815" s="292"/>
    </row>
    <row r="816" ht="12.75" customHeight="1">
      <c r="D816" s="293"/>
      <c r="E816" s="107"/>
      <c r="F816" s="294"/>
      <c r="G816" s="295"/>
      <c r="J816" s="296"/>
      <c r="K816" s="295"/>
      <c r="M816" s="296"/>
      <c r="N816" s="295"/>
      <c r="P816" s="296"/>
      <c r="T816" s="292"/>
    </row>
    <row r="817" ht="12.75" customHeight="1">
      <c r="D817" s="293"/>
      <c r="E817" s="107"/>
      <c r="F817" s="294"/>
      <c r="G817" s="295"/>
      <c r="J817" s="296"/>
      <c r="K817" s="295"/>
      <c r="M817" s="296"/>
      <c r="N817" s="295"/>
      <c r="P817" s="296"/>
      <c r="T817" s="292"/>
    </row>
    <row r="818" ht="12.75" customHeight="1">
      <c r="D818" s="293"/>
      <c r="E818" s="107"/>
      <c r="F818" s="294"/>
      <c r="G818" s="295"/>
      <c r="J818" s="296"/>
      <c r="K818" s="295"/>
      <c r="M818" s="296"/>
      <c r="N818" s="295"/>
      <c r="P818" s="296"/>
      <c r="T818" s="292"/>
    </row>
    <row r="819" ht="12.75" customHeight="1">
      <c r="D819" s="293"/>
      <c r="E819" s="107"/>
      <c r="F819" s="294"/>
      <c r="G819" s="295"/>
      <c r="J819" s="296"/>
      <c r="K819" s="295"/>
      <c r="M819" s="296"/>
      <c r="N819" s="295"/>
      <c r="P819" s="296"/>
      <c r="T819" s="292"/>
    </row>
    <row r="820" ht="12.75" customHeight="1">
      <c r="D820" s="293"/>
      <c r="E820" s="107"/>
      <c r="F820" s="294"/>
      <c r="G820" s="295"/>
      <c r="J820" s="296"/>
      <c r="K820" s="295"/>
      <c r="M820" s="296"/>
      <c r="N820" s="295"/>
      <c r="P820" s="296"/>
      <c r="T820" s="292"/>
    </row>
    <row r="821" ht="12.75" customHeight="1">
      <c r="D821" s="293"/>
      <c r="E821" s="107"/>
      <c r="F821" s="294"/>
      <c r="G821" s="295"/>
      <c r="J821" s="296"/>
      <c r="K821" s="295"/>
      <c r="M821" s="296"/>
      <c r="N821" s="295"/>
      <c r="P821" s="296"/>
      <c r="T821" s="292"/>
    </row>
    <row r="822" ht="12.75" customHeight="1">
      <c r="D822" s="293"/>
      <c r="E822" s="107"/>
      <c r="F822" s="294"/>
      <c r="G822" s="295"/>
      <c r="J822" s="296"/>
      <c r="K822" s="295"/>
      <c r="M822" s="296"/>
      <c r="N822" s="295"/>
      <c r="P822" s="296"/>
      <c r="T822" s="292"/>
    </row>
    <row r="823" ht="12.75" customHeight="1">
      <c r="D823" s="293"/>
      <c r="E823" s="107"/>
      <c r="F823" s="294"/>
      <c r="G823" s="295"/>
      <c r="J823" s="296"/>
      <c r="K823" s="295"/>
      <c r="M823" s="296"/>
      <c r="N823" s="295"/>
      <c r="P823" s="296"/>
      <c r="T823" s="292"/>
    </row>
    <row r="824" ht="12.75" customHeight="1">
      <c r="D824" s="293"/>
      <c r="E824" s="107"/>
      <c r="F824" s="294"/>
      <c r="G824" s="295"/>
      <c r="J824" s="296"/>
      <c r="K824" s="295"/>
      <c r="M824" s="296"/>
      <c r="N824" s="295"/>
      <c r="P824" s="296"/>
      <c r="T824" s="292"/>
    </row>
    <row r="825" ht="12.75" customHeight="1">
      <c r="D825" s="293"/>
      <c r="E825" s="107"/>
      <c r="F825" s="294"/>
      <c r="G825" s="295"/>
      <c r="J825" s="296"/>
      <c r="K825" s="295"/>
      <c r="M825" s="296"/>
      <c r="N825" s="295"/>
      <c r="P825" s="296"/>
      <c r="T825" s="292"/>
    </row>
    <row r="826" ht="12.75" customHeight="1">
      <c r="D826" s="293"/>
      <c r="E826" s="107"/>
      <c r="F826" s="294"/>
      <c r="G826" s="295"/>
      <c r="J826" s="296"/>
      <c r="K826" s="295"/>
      <c r="M826" s="296"/>
      <c r="N826" s="295"/>
      <c r="P826" s="296"/>
      <c r="T826" s="292"/>
    </row>
    <row r="827" ht="12.75" customHeight="1">
      <c r="D827" s="293"/>
      <c r="E827" s="107"/>
      <c r="F827" s="294"/>
      <c r="G827" s="295"/>
      <c r="J827" s="296"/>
      <c r="K827" s="295"/>
      <c r="M827" s="296"/>
      <c r="N827" s="295"/>
      <c r="P827" s="296"/>
      <c r="T827" s="292"/>
    </row>
    <row r="828" ht="12.75" customHeight="1">
      <c r="D828" s="293"/>
      <c r="E828" s="107"/>
      <c r="F828" s="294"/>
      <c r="G828" s="295"/>
      <c r="J828" s="296"/>
      <c r="K828" s="295"/>
      <c r="M828" s="296"/>
      <c r="N828" s="295"/>
      <c r="P828" s="296"/>
      <c r="T828" s="292"/>
    </row>
    <row r="829" ht="12.75" customHeight="1">
      <c r="D829" s="293"/>
      <c r="E829" s="107"/>
      <c r="F829" s="294"/>
      <c r="G829" s="295"/>
      <c r="J829" s="296"/>
      <c r="K829" s="295"/>
      <c r="M829" s="296"/>
      <c r="N829" s="295"/>
      <c r="P829" s="296"/>
      <c r="T829" s="292"/>
    </row>
    <row r="830" ht="12.75" customHeight="1">
      <c r="D830" s="293"/>
      <c r="E830" s="107"/>
      <c r="F830" s="294"/>
      <c r="G830" s="295"/>
      <c r="J830" s="296"/>
      <c r="K830" s="295"/>
      <c r="M830" s="296"/>
      <c r="N830" s="295"/>
      <c r="P830" s="296"/>
      <c r="T830" s="292"/>
    </row>
    <row r="831" ht="12.75" customHeight="1">
      <c r="D831" s="293"/>
      <c r="E831" s="107"/>
      <c r="F831" s="294"/>
      <c r="G831" s="295"/>
      <c r="J831" s="296"/>
      <c r="K831" s="295"/>
      <c r="M831" s="296"/>
      <c r="N831" s="295"/>
      <c r="P831" s="296"/>
      <c r="T831" s="292"/>
    </row>
    <row r="832" ht="12.75" customHeight="1">
      <c r="D832" s="293"/>
      <c r="E832" s="107"/>
      <c r="F832" s="294"/>
      <c r="G832" s="295"/>
      <c r="J832" s="296"/>
      <c r="K832" s="295"/>
      <c r="M832" s="296"/>
      <c r="N832" s="295"/>
      <c r="P832" s="296"/>
      <c r="T832" s="292"/>
    </row>
    <row r="833" ht="12.75" customHeight="1">
      <c r="D833" s="293"/>
      <c r="E833" s="107"/>
      <c r="F833" s="294"/>
      <c r="G833" s="295"/>
      <c r="J833" s="296"/>
      <c r="K833" s="295"/>
      <c r="M833" s="296"/>
      <c r="N833" s="295"/>
      <c r="P833" s="296"/>
      <c r="T833" s="292"/>
    </row>
    <row r="834" ht="12.75" customHeight="1">
      <c r="D834" s="293"/>
      <c r="E834" s="107"/>
      <c r="F834" s="294"/>
      <c r="G834" s="295"/>
      <c r="J834" s="296"/>
      <c r="K834" s="295"/>
      <c r="M834" s="296"/>
      <c r="N834" s="295"/>
      <c r="P834" s="296"/>
      <c r="T834" s="292"/>
    </row>
    <row r="835" ht="12.75" customHeight="1">
      <c r="D835" s="293"/>
      <c r="E835" s="107"/>
      <c r="F835" s="294"/>
      <c r="G835" s="295"/>
      <c r="J835" s="296"/>
      <c r="K835" s="295"/>
      <c r="M835" s="296"/>
      <c r="N835" s="295"/>
      <c r="P835" s="296"/>
      <c r="T835" s="292"/>
    </row>
    <row r="836" ht="12.75" customHeight="1">
      <c r="D836" s="293"/>
      <c r="E836" s="107"/>
      <c r="F836" s="294"/>
      <c r="G836" s="295"/>
      <c r="J836" s="296"/>
      <c r="K836" s="295"/>
      <c r="M836" s="296"/>
      <c r="N836" s="295"/>
      <c r="P836" s="296"/>
      <c r="T836" s="292"/>
    </row>
    <row r="837" ht="12.75" customHeight="1">
      <c r="D837" s="293"/>
      <c r="E837" s="107"/>
      <c r="F837" s="294"/>
      <c r="G837" s="295"/>
      <c r="J837" s="296"/>
      <c r="K837" s="295"/>
      <c r="M837" s="296"/>
      <c r="N837" s="295"/>
      <c r="P837" s="296"/>
      <c r="T837" s="292"/>
    </row>
    <row r="838" ht="12.75" customHeight="1">
      <c r="D838" s="293"/>
      <c r="E838" s="107"/>
      <c r="F838" s="294"/>
      <c r="G838" s="295"/>
      <c r="J838" s="296"/>
      <c r="K838" s="295"/>
      <c r="M838" s="296"/>
      <c r="N838" s="295"/>
      <c r="P838" s="296"/>
      <c r="T838" s="292"/>
    </row>
    <row r="839" ht="12.75" customHeight="1">
      <c r="D839" s="293"/>
      <c r="E839" s="107"/>
      <c r="F839" s="294"/>
      <c r="G839" s="295"/>
      <c r="J839" s="296"/>
      <c r="K839" s="295"/>
      <c r="M839" s="296"/>
      <c r="N839" s="295"/>
      <c r="P839" s="296"/>
      <c r="T839" s="292"/>
    </row>
    <row r="840" ht="12.75" customHeight="1">
      <c r="D840" s="293"/>
      <c r="E840" s="107"/>
      <c r="F840" s="294"/>
      <c r="G840" s="295"/>
      <c r="J840" s="296"/>
      <c r="K840" s="295"/>
      <c r="M840" s="296"/>
      <c r="N840" s="295"/>
      <c r="P840" s="296"/>
      <c r="T840" s="292"/>
    </row>
    <row r="841" ht="12.75" customHeight="1">
      <c r="D841" s="293"/>
      <c r="E841" s="107"/>
      <c r="F841" s="294"/>
      <c r="G841" s="295"/>
      <c r="J841" s="296"/>
      <c r="K841" s="295"/>
      <c r="M841" s="296"/>
      <c r="N841" s="295"/>
      <c r="P841" s="296"/>
      <c r="T841" s="292"/>
    </row>
    <row r="842" ht="12.75" customHeight="1">
      <c r="D842" s="293"/>
      <c r="E842" s="107"/>
      <c r="F842" s="294"/>
      <c r="G842" s="295"/>
      <c r="J842" s="296"/>
      <c r="K842" s="295"/>
      <c r="M842" s="296"/>
      <c r="N842" s="295"/>
      <c r="P842" s="296"/>
      <c r="T842" s="292"/>
    </row>
    <row r="843" ht="12.75" customHeight="1">
      <c r="D843" s="293"/>
      <c r="E843" s="107"/>
      <c r="F843" s="294"/>
      <c r="G843" s="295"/>
      <c r="J843" s="296"/>
      <c r="K843" s="295"/>
      <c r="M843" s="296"/>
      <c r="N843" s="295"/>
      <c r="P843" s="296"/>
      <c r="T843" s="292"/>
    </row>
    <row r="844" ht="12.75" customHeight="1">
      <c r="D844" s="293"/>
      <c r="E844" s="107"/>
      <c r="F844" s="294"/>
      <c r="G844" s="295"/>
      <c r="J844" s="296"/>
      <c r="K844" s="295"/>
      <c r="M844" s="296"/>
      <c r="N844" s="295"/>
      <c r="P844" s="296"/>
      <c r="T844" s="292"/>
    </row>
    <row r="845" ht="12.75" customHeight="1">
      <c r="D845" s="293"/>
      <c r="E845" s="107"/>
      <c r="F845" s="294"/>
      <c r="G845" s="295"/>
      <c r="J845" s="296"/>
      <c r="K845" s="295"/>
      <c r="M845" s="296"/>
      <c r="N845" s="295"/>
      <c r="P845" s="296"/>
      <c r="T845" s="292"/>
    </row>
    <row r="846" ht="12.75" customHeight="1">
      <c r="D846" s="293"/>
      <c r="E846" s="107"/>
      <c r="F846" s="294"/>
      <c r="G846" s="295"/>
      <c r="J846" s="296"/>
      <c r="K846" s="295"/>
      <c r="M846" s="296"/>
      <c r="N846" s="295"/>
      <c r="P846" s="296"/>
      <c r="T846" s="292"/>
    </row>
    <row r="847" ht="12.75" customHeight="1">
      <c r="D847" s="293"/>
      <c r="E847" s="107"/>
      <c r="F847" s="294"/>
      <c r="G847" s="295"/>
      <c r="J847" s="296"/>
      <c r="K847" s="295"/>
      <c r="M847" s="296"/>
      <c r="N847" s="295"/>
      <c r="P847" s="296"/>
      <c r="T847" s="292"/>
    </row>
    <row r="848" ht="12.75" customHeight="1">
      <c r="D848" s="293"/>
      <c r="E848" s="107"/>
      <c r="F848" s="294"/>
      <c r="G848" s="295"/>
      <c r="J848" s="296"/>
      <c r="K848" s="295"/>
      <c r="M848" s="296"/>
      <c r="N848" s="295"/>
      <c r="P848" s="296"/>
      <c r="T848" s="292"/>
    </row>
    <row r="849" ht="12.75" customHeight="1">
      <c r="D849" s="293"/>
      <c r="E849" s="107"/>
      <c r="F849" s="294"/>
      <c r="G849" s="295"/>
      <c r="J849" s="296"/>
      <c r="K849" s="295"/>
      <c r="M849" s="296"/>
      <c r="N849" s="295"/>
      <c r="P849" s="296"/>
      <c r="T849" s="292"/>
    </row>
    <row r="850" ht="12.75" customHeight="1">
      <c r="D850" s="293"/>
      <c r="E850" s="107"/>
      <c r="F850" s="294"/>
      <c r="G850" s="295"/>
      <c r="J850" s="296"/>
      <c r="K850" s="295"/>
      <c r="M850" s="296"/>
      <c r="N850" s="295"/>
      <c r="P850" s="296"/>
      <c r="T850" s="292"/>
    </row>
    <row r="851" ht="12.75" customHeight="1">
      <c r="D851" s="293"/>
      <c r="E851" s="107"/>
      <c r="F851" s="294"/>
      <c r="G851" s="295"/>
      <c r="J851" s="296"/>
      <c r="K851" s="295"/>
      <c r="M851" s="296"/>
      <c r="N851" s="295"/>
      <c r="P851" s="296"/>
      <c r="T851" s="292"/>
    </row>
    <row r="852" ht="12.75" customHeight="1">
      <c r="D852" s="293"/>
      <c r="E852" s="107"/>
      <c r="F852" s="294"/>
      <c r="G852" s="295"/>
      <c r="J852" s="296"/>
      <c r="K852" s="295"/>
      <c r="M852" s="296"/>
      <c r="N852" s="295"/>
      <c r="P852" s="296"/>
      <c r="T852" s="292"/>
    </row>
    <row r="853" ht="12.75" customHeight="1">
      <c r="D853" s="293"/>
      <c r="E853" s="107"/>
      <c r="F853" s="294"/>
      <c r="G853" s="295"/>
      <c r="J853" s="296"/>
      <c r="K853" s="295"/>
      <c r="M853" s="296"/>
      <c r="N853" s="295"/>
      <c r="P853" s="296"/>
      <c r="T853" s="292"/>
    </row>
    <row r="854" ht="12.75" customHeight="1">
      <c r="D854" s="293"/>
      <c r="E854" s="107"/>
      <c r="F854" s="294"/>
      <c r="G854" s="295"/>
      <c r="J854" s="296"/>
      <c r="K854" s="295"/>
      <c r="M854" s="296"/>
      <c r="N854" s="295"/>
      <c r="P854" s="296"/>
      <c r="T854" s="292"/>
    </row>
    <row r="855" ht="12.75" customHeight="1">
      <c r="D855" s="293"/>
      <c r="E855" s="107"/>
      <c r="F855" s="294"/>
      <c r="G855" s="295"/>
      <c r="J855" s="296"/>
      <c r="K855" s="295"/>
      <c r="M855" s="296"/>
      <c r="N855" s="295"/>
      <c r="P855" s="296"/>
      <c r="T855" s="292"/>
    </row>
    <row r="856" ht="12.75" customHeight="1">
      <c r="D856" s="293"/>
      <c r="E856" s="107"/>
      <c r="F856" s="294"/>
      <c r="G856" s="295"/>
      <c r="J856" s="296"/>
      <c r="K856" s="295"/>
      <c r="M856" s="296"/>
      <c r="N856" s="295"/>
      <c r="P856" s="296"/>
      <c r="T856" s="292"/>
    </row>
    <row r="857" ht="12.75" customHeight="1">
      <c r="D857" s="293"/>
      <c r="E857" s="107"/>
      <c r="F857" s="294"/>
      <c r="G857" s="295"/>
      <c r="J857" s="296"/>
      <c r="K857" s="295"/>
      <c r="M857" s="296"/>
      <c r="N857" s="295"/>
      <c r="P857" s="296"/>
      <c r="T857" s="292"/>
    </row>
    <row r="858" ht="12.75" customHeight="1">
      <c r="D858" s="293"/>
      <c r="E858" s="107"/>
      <c r="F858" s="294"/>
      <c r="G858" s="295"/>
      <c r="J858" s="296"/>
      <c r="K858" s="295"/>
      <c r="M858" s="296"/>
      <c r="N858" s="295"/>
      <c r="P858" s="296"/>
      <c r="T858" s="292"/>
    </row>
    <row r="859" ht="12.75" customHeight="1">
      <c r="D859" s="293"/>
      <c r="E859" s="107"/>
      <c r="F859" s="294"/>
      <c r="G859" s="295"/>
      <c r="J859" s="296"/>
      <c r="K859" s="295"/>
      <c r="M859" s="296"/>
      <c r="N859" s="295"/>
      <c r="P859" s="296"/>
      <c r="T859" s="292"/>
    </row>
    <row r="860" ht="12.75" customHeight="1">
      <c r="D860" s="293"/>
      <c r="E860" s="107"/>
      <c r="F860" s="294"/>
      <c r="G860" s="295"/>
      <c r="J860" s="296"/>
      <c r="K860" s="295"/>
      <c r="M860" s="296"/>
      <c r="N860" s="295"/>
      <c r="P860" s="296"/>
      <c r="T860" s="292"/>
    </row>
    <row r="861" ht="12.75" customHeight="1">
      <c r="D861" s="293"/>
      <c r="E861" s="107"/>
      <c r="F861" s="294"/>
      <c r="G861" s="295"/>
      <c r="J861" s="296"/>
      <c r="K861" s="295"/>
      <c r="M861" s="296"/>
      <c r="N861" s="295"/>
      <c r="P861" s="296"/>
      <c r="T861" s="292"/>
    </row>
    <row r="862" ht="12.75" customHeight="1">
      <c r="D862" s="293"/>
      <c r="E862" s="107"/>
      <c r="F862" s="294"/>
      <c r="G862" s="295"/>
      <c r="J862" s="296"/>
      <c r="K862" s="295"/>
      <c r="M862" s="296"/>
      <c r="N862" s="295"/>
      <c r="P862" s="296"/>
      <c r="T862" s="292"/>
    </row>
    <row r="863" ht="12.75" customHeight="1">
      <c r="D863" s="293"/>
      <c r="E863" s="107"/>
      <c r="F863" s="294"/>
      <c r="G863" s="295"/>
      <c r="J863" s="296"/>
      <c r="K863" s="295"/>
      <c r="M863" s="296"/>
      <c r="N863" s="295"/>
      <c r="P863" s="296"/>
      <c r="T863" s="292"/>
    </row>
    <row r="864" ht="12.75" customHeight="1">
      <c r="D864" s="293"/>
      <c r="E864" s="107"/>
      <c r="F864" s="294"/>
      <c r="G864" s="295"/>
      <c r="J864" s="296"/>
      <c r="K864" s="295"/>
      <c r="M864" s="296"/>
      <c r="N864" s="295"/>
      <c r="P864" s="296"/>
      <c r="T864" s="292"/>
    </row>
    <row r="865" ht="12.75" customHeight="1">
      <c r="D865" s="293"/>
      <c r="E865" s="107"/>
      <c r="F865" s="294"/>
      <c r="G865" s="295"/>
      <c r="J865" s="296"/>
      <c r="K865" s="295"/>
      <c r="M865" s="296"/>
      <c r="N865" s="295"/>
      <c r="P865" s="296"/>
      <c r="T865" s="292"/>
    </row>
    <row r="866" ht="12.75" customHeight="1">
      <c r="D866" s="293"/>
      <c r="E866" s="107"/>
      <c r="F866" s="294"/>
      <c r="G866" s="295"/>
      <c r="J866" s="296"/>
      <c r="K866" s="295"/>
      <c r="M866" s="296"/>
      <c r="N866" s="295"/>
      <c r="P866" s="296"/>
      <c r="T866" s="292"/>
    </row>
    <row r="867" ht="12.75" customHeight="1">
      <c r="D867" s="293"/>
      <c r="E867" s="107"/>
      <c r="F867" s="294"/>
      <c r="G867" s="295"/>
      <c r="J867" s="296"/>
      <c r="K867" s="295"/>
      <c r="M867" s="296"/>
      <c r="N867" s="295"/>
      <c r="P867" s="296"/>
      <c r="T867" s="292"/>
    </row>
    <row r="868" ht="12.75" customHeight="1">
      <c r="D868" s="293"/>
      <c r="E868" s="107"/>
      <c r="F868" s="294"/>
      <c r="G868" s="295"/>
      <c r="J868" s="296"/>
      <c r="K868" s="295"/>
      <c r="M868" s="296"/>
      <c r="N868" s="295"/>
      <c r="P868" s="296"/>
      <c r="T868" s="292"/>
    </row>
    <row r="869" ht="12.75" customHeight="1">
      <c r="D869" s="293"/>
      <c r="E869" s="107"/>
      <c r="F869" s="294"/>
      <c r="G869" s="295"/>
      <c r="J869" s="296"/>
      <c r="K869" s="295"/>
      <c r="M869" s="296"/>
      <c r="N869" s="295"/>
      <c r="P869" s="296"/>
      <c r="T869" s="292"/>
    </row>
    <row r="870" ht="12.75" customHeight="1">
      <c r="D870" s="293"/>
      <c r="E870" s="107"/>
      <c r="F870" s="294"/>
      <c r="G870" s="295"/>
      <c r="J870" s="296"/>
      <c r="K870" s="295"/>
      <c r="M870" s="296"/>
      <c r="N870" s="295"/>
      <c r="P870" s="296"/>
      <c r="T870" s="292"/>
    </row>
    <row r="871" ht="12.75" customHeight="1">
      <c r="D871" s="293"/>
      <c r="E871" s="107"/>
      <c r="F871" s="294"/>
      <c r="G871" s="295"/>
      <c r="J871" s="296"/>
      <c r="K871" s="295"/>
      <c r="M871" s="296"/>
      <c r="N871" s="295"/>
      <c r="P871" s="296"/>
      <c r="T871" s="292"/>
    </row>
    <row r="872" ht="12.75" customHeight="1">
      <c r="D872" s="293"/>
      <c r="E872" s="107"/>
      <c r="F872" s="294"/>
      <c r="G872" s="295"/>
      <c r="J872" s="296"/>
      <c r="K872" s="295"/>
      <c r="M872" s="296"/>
      <c r="N872" s="295"/>
      <c r="P872" s="296"/>
      <c r="T872" s="292"/>
    </row>
    <row r="873" ht="12.75" customHeight="1">
      <c r="D873" s="293"/>
      <c r="E873" s="107"/>
      <c r="F873" s="294"/>
      <c r="G873" s="295"/>
      <c r="J873" s="296"/>
      <c r="K873" s="295"/>
      <c r="M873" s="296"/>
      <c r="N873" s="295"/>
      <c r="P873" s="296"/>
      <c r="T873" s="292"/>
    </row>
    <row r="874" ht="12.75" customHeight="1">
      <c r="D874" s="293"/>
      <c r="E874" s="107"/>
      <c r="F874" s="294"/>
      <c r="G874" s="295"/>
      <c r="J874" s="296"/>
      <c r="K874" s="295"/>
      <c r="M874" s="296"/>
      <c r="N874" s="295"/>
      <c r="P874" s="296"/>
      <c r="T874" s="292"/>
    </row>
    <row r="875" ht="12.75" customHeight="1">
      <c r="D875" s="293"/>
      <c r="E875" s="107"/>
      <c r="F875" s="294"/>
      <c r="G875" s="295"/>
      <c r="J875" s="296"/>
      <c r="K875" s="295"/>
      <c r="M875" s="296"/>
      <c r="N875" s="295"/>
      <c r="P875" s="296"/>
      <c r="T875" s="292"/>
    </row>
    <row r="876" ht="12.75" customHeight="1">
      <c r="D876" s="293"/>
      <c r="E876" s="107"/>
      <c r="F876" s="294"/>
      <c r="G876" s="295"/>
      <c r="J876" s="296"/>
      <c r="K876" s="295"/>
      <c r="M876" s="296"/>
      <c r="N876" s="295"/>
      <c r="P876" s="296"/>
      <c r="T876" s="292"/>
    </row>
    <row r="877" ht="12.75" customHeight="1">
      <c r="D877" s="293"/>
      <c r="E877" s="107"/>
      <c r="F877" s="294"/>
      <c r="G877" s="295"/>
      <c r="J877" s="296"/>
      <c r="K877" s="295"/>
      <c r="M877" s="296"/>
      <c r="N877" s="295"/>
      <c r="P877" s="296"/>
      <c r="T877" s="292"/>
    </row>
    <row r="878" ht="12.75" customHeight="1">
      <c r="D878" s="293"/>
      <c r="E878" s="107"/>
      <c r="F878" s="294"/>
      <c r="G878" s="295"/>
      <c r="J878" s="296"/>
      <c r="K878" s="295"/>
      <c r="M878" s="296"/>
      <c r="N878" s="295"/>
      <c r="P878" s="296"/>
      <c r="T878" s="292"/>
    </row>
    <row r="879" ht="12.75" customHeight="1">
      <c r="D879" s="293"/>
      <c r="E879" s="107"/>
      <c r="F879" s="294"/>
      <c r="G879" s="295"/>
      <c r="J879" s="296"/>
      <c r="K879" s="295"/>
      <c r="M879" s="296"/>
      <c r="N879" s="295"/>
      <c r="P879" s="296"/>
      <c r="T879" s="292"/>
    </row>
    <row r="880" ht="12.75" customHeight="1">
      <c r="D880" s="293"/>
      <c r="E880" s="107"/>
      <c r="F880" s="294"/>
      <c r="G880" s="295"/>
      <c r="J880" s="296"/>
      <c r="K880" s="295"/>
      <c r="M880" s="296"/>
      <c r="N880" s="295"/>
      <c r="P880" s="296"/>
      <c r="T880" s="292"/>
    </row>
    <row r="881" ht="12.75" customHeight="1">
      <c r="D881" s="293"/>
      <c r="E881" s="107"/>
      <c r="F881" s="294"/>
      <c r="G881" s="295"/>
      <c r="J881" s="296"/>
      <c r="K881" s="295"/>
      <c r="M881" s="296"/>
      <c r="N881" s="295"/>
      <c r="P881" s="296"/>
      <c r="T881" s="292"/>
    </row>
    <row r="882" ht="12.75" customHeight="1">
      <c r="D882" s="293"/>
      <c r="E882" s="107"/>
      <c r="F882" s="294"/>
      <c r="G882" s="295"/>
      <c r="J882" s="296"/>
      <c r="K882" s="295"/>
      <c r="M882" s="296"/>
      <c r="N882" s="295"/>
      <c r="P882" s="296"/>
      <c r="T882" s="292"/>
    </row>
    <row r="883" ht="12.75" customHeight="1">
      <c r="D883" s="293"/>
      <c r="E883" s="107"/>
      <c r="F883" s="294"/>
      <c r="G883" s="295"/>
      <c r="J883" s="296"/>
      <c r="K883" s="295"/>
      <c r="M883" s="296"/>
      <c r="N883" s="295"/>
      <c r="P883" s="296"/>
      <c r="T883" s="292"/>
    </row>
    <row r="884" ht="12.75" customHeight="1">
      <c r="D884" s="293"/>
      <c r="E884" s="107"/>
      <c r="F884" s="294"/>
      <c r="G884" s="295"/>
      <c r="J884" s="296"/>
      <c r="K884" s="295"/>
      <c r="M884" s="296"/>
      <c r="N884" s="295"/>
      <c r="P884" s="296"/>
      <c r="T884" s="292"/>
    </row>
    <row r="885" ht="12.75" customHeight="1">
      <c r="D885" s="293"/>
      <c r="E885" s="107"/>
      <c r="F885" s="294"/>
      <c r="G885" s="295"/>
      <c r="J885" s="296"/>
      <c r="K885" s="295"/>
      <c r="M885" s="296"/>
      <c r="N885" s="295"/>
      <c r="P885" s="296"/>
      <c r="T885" s="292"/>
    </row>
    <row r="886" ht="12.75" customHeight="1">
      <c r="D886" s="293"/>
      <c r="E886" s="107"/>
      <c r="F886" s="294"/>
      <c r="G886" s="295"/>
      <c r="J886" s="296"/>
      <c r="K886" s="295"/>
      <c r="M886" s="296"/>
      <c r="N886" s="295"/>
      <c r="P886" s="296"/>
      <c r="T886" s="292"/>
    </row>
    <row r="887" ht="12.75" customHeight="1">
      <c r="D887" s="293"/>
      <c r="E887" s="107"/>
      <c r="F887" s="294"/>
      <c r="G887" s="295"/>
      <c r="J887" s="296"/>
      <c r="K887" s="295"/>
      <c r="M887" s="296"/>
      <c r="N887" s="295"/>
      <c r="P887" s="296"/>
      <c r="T887" s="292"/>
    </row>
    <row r="888" ht="12.75" customHeight="1">
      <c r="D888" s="293"/>
      <c r="E888" s="107"/>
      <c r="F888" s="294"/>
      <c r="G888" s="295"/>
      <c r="J888" s="296"/>
      <c r="K888" s="295"/>
      <c r="M888" s="296"/>
      <c r="N888" s="295"/>
      <c r="P888" s="296"/>
      <c r="T888" s="292"/>
    </row>
    <row r="889" ht="12.75" customHeight="1">
      <c r="D889" s="293"/>
      <c r="E889" s="107"/>
      <c r="F889" s="294"/>
      <c r="G889" s="295"/>
      <c r="J889" s="296"/>
      <c r="K889" s="295"/>
      <c r="M889" s="296"/>
      <c r="N889" s="295"/>
      <c r="P889" s="296"/>
      <c r="T889" s="292"/>
    </row>
    <row r="890" ht="12.75" customHeight="1">
      <c r="D890" s="293"/>
      <c r="E890" s="107"/>
      <c r="F890" s="294"/>
      <c r="G890" s="295"/>
      <c r="J890" s="296"/>
      <c r="K890" s="295"/>
      <c r="M890" s="296"/>
      <c r="N890" s="295"/>
      <c r="P890" s="296"/>
      <c r="T890" s="292"/>
    </row>
    <row r="891" ht="12.75" customHeight="1">
      <c r="D891" s="293"/>
      <c r="E891" s="107"/>
      <c r="F891" s="294"/>
      <c r="G891" s="295"/>
      <c r="J891" s="296"/>
      <c r="K891" s="295"/>
      <c r="M891" s="296"/>
      <c r="N891" s="295"/>
      <c r="P891" s="296"/>
      <c r="T891" s="292"/>
    </row>
    <row r="892" ht="12.75" customHeight="1">
      <c r="D892" s="293"/>
      <c r="E892" s="107"/>
      <c r="F892" s="294"/>
      <c r="G892" s="295"/>
      <c r="J892" s="296"/>
      <c r="K892" s="295"/>
      <c r="M892" s="296"/>
      <c r="N892" s="295"/>
      <c r="P892" s="296"/>
      <c r="T892" s="292"/>
    </row>
    <row r="893" ht="12.75" customHeight="1">
      <c r="D893" s="293"/>
      <c r="E893" s="107"/>
      <c r="F893" s="294"/>
      <c r="G893" s="295"/>
      <c r="J893" s="296"/>
      <c r="K893" s="295"/>
      <c r="M893" s="296"/>
      <c r="N893" s="295"/>
      <c r="P893" s="296"/>
      <c r="T893" s="292"/>
    </row>
    <row r="894" ht="12.75" customHeight="1">
      <c r="D894" s="293"/>
      <c r="E894" s="107"/>
      <c r="F894" s="294"/>
      <c r="G894" s="295"/>
      <c r="J894" s="296"/>
      <c r="K894" s="295"/>
      <c r="M894" s="296"/>
      <c r="N894" s="295"/>
      <c r="P894" s="296"/>
      <c r="T894" s="292"/>
    </row>
    <row r="895" ht="12.75" customHeight="1">
      <c r="D895" s="293"/>
      <c r="E895" s="107"/>
      <c r="F895" s="294"/>
      <c r="G895" s="295"/>
      <c r="J895" s="296"/>
      <c r="K895" s="295"/>
      <c r="M895" s="296"/>
      <c r="N895" s="295"/>
      <c r="P895" s="296"/>
      <c r="T895" s="292"/>
    </row>
    <row r="896" ht="12.75" customHeight="1">
      <c r="D896" s="293"/>
      <c r="E896" s="107"/>
      <c r="F896" s="294"/>
      <c r="G896" s="295"/>
      <c r="J896" s="296"/>
      <c r="K896" s="295"/>
      <c r="M896" s="296"/>
      <c r="N896" s="295"/>
      <c r="P896" s="296"/>
      <c r="T896" s="292"/>
    </row>
    <row r="897" ht="12.75" customHeight="1">
      <c r="D897" s="293"/>
      <c r="E897" s="107"/>
      <c r="F897" s="294"/>
      <c r="G897" s="295"/>
      <c r="J897" s="296"/>
      <c r="K897" s="295"/>
      <c r="M897" s="296"/>
      <c r="N897" s="295"/>
      <c r="P897" s="296"/>
      <c r="T897" s="292"/>
    </row>
    <row r="898" ht="12.75" customHeight="1">
      <c r="D898" s="293"/>
      <c r="E898" s="107"/>
      <c r="F898" s="294"/>
      <c r="G898" s="295"/>
      <c r="J898" s="296"/>
      <c r="K898" s="295"/>
      <c r="M898" s="296"/>
      <c r="N898" s="295"/>
      <c r="P898" s="296"/>
      <c r="T898" s="292"/>
    </row>
    <row r="899" ht="12.75" customHeight="1">
      <c r="D899" s="293"/>
      <c r="E899" s="107"/>
      <c r="F899" s="294"/>
      <c r="G899" s="295"/>
      <c r="J899" s="296"/>
      <c r="K899" s="295"/>
      <c r="M899" s="296"/>
      <c r="N899" s="295"/>
      <c r="P899" s="296"/>
      <c r="T899" s="292"/>
    </row>
    <row r="900" ht="12.75" customHeight="1">
      <c r="D900" s="293"/>
      <c r="E900" s="107"/>
      <c r="F900" s="294"/>
      <c r="G900" s="295"/>
      <c r="J900" s="296"/>
      <c r="K900" s="295"/>
      <c r="M900" s="296"/>
      <c r="N900" s="295"/>
      <c r="P900" s="296"/>
      <c r="T900" s="292"/>
    </row>
    <row r="901" ht="12.75" customHeight="1">
      <c r="D901" s="293"/>
      <c r="E901" s="107"/>
      <c r="F901" s="294"/>
      <c r="G901" s="295"/>
      <c r="J901" s="296"/>
      <c r="K901" s="295"/>
      <c r="M901" s="296"/>
      <c r="N901" s="295"/>
      <c r="P901" s="296"/>
      <c r="T901" s="292"/>
    </row>
    <row r="902" ht="12.75" customHeight="1">
      <c r="D902" s="293"/>
      <c r="E902" s="107"/>
      <c r="F902" s="294"/>
      <c r="G902" s="295"/>
      <c r="J902" s="296"/>
      <c r="K902" s="295"/>
      <c r="M902" s="296"/>
      <c r="N902" s="295"/>
      <c r="P902" s="296"/>
      <c r="T902" s="292"/>
    </row>
    <row r="903" ht="12.75" customHeight="1">
      <c r="D903" s="293"/>
      <c r="E903" s="107"/>
      <c r="F903" s="294"/>
      <c r="G903" s="295"/>
      <c r="J903" s="296"/>
      <c r="K903" s="295"/>
      <c r="M903" s="296"/>
      <c r="N903" s="295"/>
      <c r="P903" s="296"/>
      <c r="T903" s="292"/>
    </row>
    <row r="904" ht="12.75" customHeight="1">
      <c r="D904" s="293"/>
      <c r="E904" s="107"/>
      <c r="F904" s="294"/>
      <c r="G904" s="295"/>
      <c r="J904" s="296"/>
      <c r="K904" s="295"/>
      <c r="M904" s="296"/>
      <c r="N904" s="295"/>
      <c r="P904" s="296"/>
      <c r="T904" s="292"/>
    </row>
    <row r="905" ht="12.75" customHeight="1">
      <c r="D905" s="293"/>
      <c r="E905" s="107"/>
      <c r="F905" s="294"/>
      <c r="G905" s="295"/>
      <c r="J905" s="296"/>
      <c r="K905" s="295"/>
      <c r="M905" s="296"/>
      <c r="N905" s="295"/>
      <c r="P905" s="296"/>
      <c r="T905" s="292"/>
    </row>
    <row r="906" ht="12.75" customHeight="1">
      <c r="D906" s="293"/>
      <c r="E906" s="107"/>
      <c r="F906" s="294"/>
      <c r="G906" s="295"/>
      <c r="J906" s="296"/>
      <c r="K906" s="295"/>
      <c r="M906" s="296"/>
      <c r="N906" s="295"/>
      <c r="P906" s="296"/>
      <c r="T906" s="292"/>
    </row>
    <row r="907" ht="12.75" customHeight="1">
      <c r="D907" s="293"/>
      <c r="E907" s="107"/>
      <c r="F907" s="294"/>
      <c r="G907" s="295"/>
      <c r="J907" s="296"/>
      <c r="K907" s="295"/>
      <c r="M907" s="296"/>
      <c r="N907" s="295"/>
      <c r="P907" s="296"/>
      <c r="T907" s="292"/>
    </row>
    <row r="908" ht="12.75" customHeight="1">
      <c r="D908" s="293"/>
      <c r="E908" s="107"/>
      <c r="F908" s="294"/>
      <c r="G908" s="295"/>
      <c r="J908" s="296"/>
      <c r="K908" s="295"/>
      <c r="M908" s="296"/>
      <c r="N908" s="295"/>
      <c r="P908" s="296"/>
      <c r="T908" s="292"/>
    </row>
    <row r="909" ht="12.75" customHeight="1">
      <c r="D909" s="293"/>
      <c r="E909" s="107"/>
      <c r="F909" s="294"/>
      <c r="G909" s="295"/>
      <c r="J909" s="296"/>
      <c r="K909" s="295"/>
      <c r="M909" s="296"/>
      <c r="N909" s="295"/>
      <c r="P909" s="296"/>
      <c r="T909" s="292"/>
    </row>
    <row r="910" ht="12.75" customHeight="1">
      <c r="D910" s="293"/>
      <c r="E910" s="107"/>
      <c r="F910" s="294"/>
      <c r="G910" s="295"/>
      <c r="J910" s="296"/>
      <c r="K910" s="295"/>
      <c r="M910" s="296"/>
      <c r="N910" s="295"/>
      <c r="P910" s="296"/>
      <c r="T910" s="292"/>
    </row>
    <row r="911" ht="12.75" customHeight="1">
      <c r="D911" s="293"/>
      <c r="E911" s="107"/>
      <c r="F911" s="294"/>
      <c r="G911" s="295"/>
      <c r="J911" s="296"/>
      <c r="K911" s="295"/>
      <c r="M911" s="296"/>
      <c r="N911" s="295"/>
      <c r="P911" s="296"/>
      <c r="T911" s="292"/>
    </row>
    <row r="912" ht="12.75" customHeight="1">
      <c r="D912" s="293"/>
      <c r="E912" s="107"/>
      <c r="F912" s="294"/>
      <c r="G912" s="295"/>
      <c r="J912" s="296"/>
      <c r="K912" s="295"/>
      <c r="M912" s="296"/>
      <c r="N912" s="295"/>
      <c r="P912" s="296"/>
      <c r="T912" s="292"/>
    </row>
    <row r="913" ht="12.75" customHeight="1">
      <c r="D913" s="293"/>
      <c r="E913" s="107"/>
      <c r="F913" s="294"/>
      <c r="G913" s="295"/>
      <c r="J913" s="296"/>
      <c r="K913" s="295"/>
      <c r="M913" s="296"/>
      <c r="N913" s="295"/>
      <c r="P913" s="296"/>
      <c r="T913" s="292"/>
    </row>
    <row r="914" ht="12.75" customHeight="1">
      <c r="D914" s="293"/>
      <c r="E914" s="107"/>
      <c r="F914" s="294"/>
      <c r="G914" s="295"/>
      <c r="J914" s="296"/>
      <c r="K914" s="295"/>
      <c r="M914" s="296"/>
      <c r="N914" s="295"/>
      <c r="P914" s="296"/>
      <c r="T914" s="292"/>
    </row>
    <row r="915" ht="12.75" customHeight="1">
      <c r="D915" s="293"/>
      <c r="E915" s="107"/>
      <c r="F915" s="294"/>
      <c r="G915" s="295"/>
      <c r="J915" s="296"/>
      <c r="K915" s="295"/>
      <c r="M915" s="296"/>
      <c r="N915" s="295"/>
      <c r="P915" s="296"/>
      <c r="T915" s="292"/>
    </row>
    <row r="916" ht="12.75" customHeight="1">
      <c r="D916" s="293"/>
      <c r="E916" s="107"/>
      <c r="F916" s="294"/>
      <c r="G916" s="295"/>
      <c r="J916" s="296"/>
      <c r="K916" s="295"/>
      <c r="M916" s="296"/>
      <c r="N916" s="295"/>
      <c r="P916" s="296"/>
      <c r="T916" s="292"/>
    </row>
    <row r="917" ht="12.75" customHeight="1">
      <c r="D917" s="293"/>
      <c r="E917" s="107"/>
      <c r="F917" s="294"/>
      <c r="G917" s="295"/>
      <c r="J917" s="296"/>
      <c r="K917" s="295"/>
      <c r="M917" s="296"/>
      <c r="N917" s="295"/>
      <c r="P917" s="296"/>
      <c r="T917" s="292"/>
    </row>
    <row r="918" ht="12.75" customHeight="1">
      <c r="D918" s="293"/>
      <c r="E918" s="107"/>
      <c r="F918" s="294"/>
      <c r="G918" s="295"/>
      <c r="J918" s="296"/>
      <c r="K918" s="295"/>
      <c r="M918" s="296"/>
      <c r="N918" s="295"/>
      <c r="P918" s="296"/>
      <c r="T918" s="292"/>
    </row>
    <row r="919" ht="12.75" customHeight="1">
      <c r="D919" s="293"/>
      <c r="E919" s="107"/>
      <c r="F919" s="294"/>
      <c r="G919" s="295"/>
      <c r="J919" s="296"/>
      <c r="K919" s="295"/>
      <c r="M919" s="296"/>
      <c r="N919" s="295"/>
      <c r="P919" s="296"/>
      <c r="T919" s="292"/>
    </row>
    <row r="920" ht="12.75" customHeight="1">
      <c r="D920" s="293"/>
      <c r="E920" s="107"/>
      <c r="F920" s="294"/>
      <c r="G920" s="295"/>
      <c r="J920" s="296"/>
      <c r="K920" s="295"/>
      <c r="M920" s="296"/>
      <c r="N920" s="295"/>
      <c r="P920" s="296"/>
      <c r="T920" s="292"/>
    </row>
    <row r="921" ht="12.75" customHeight="1">
      <c r="D921" s="293"/>
      <c r="E921" s="107"/>
      <c r="F921" s="294"/>
      <c r="G921" s="295"/>
      <c r="J921" s="296"/>
      <c r="K921" s="295"/>
      <c r="M921" s="296"/>
      <c r="N921" s="295"/>
      <c r="P921" s="296"/>
      <c r="T921" s="292"/>
    </row>
    <row r="922" ht="12.75" customHeight="1">
      <c r="D922" s="293"/>
      <c r="E922" s="107"/>
      <c r="F922" s="294"/>
      <c r="G922" s="295"/>
      <c r="J922" s="296"/>
      <c r="K922" s="295"/>
      <c r="M922" s="296"/>
      <c r="N922" s="295"/>
      <c r="P922" s="296"/>
      <c r="T922" s="292"/>
    </row>
    <row r="923" ht="12.75" customHeight="1">
      <c r="D923" s="293"/>
      <c r="E923" s="107"/>
      <c r="F923" s="294"/>
      <c r="G923" s="295"/>
      <c r="J923" s="296"/>
      <c r="K923" s="295"/>
      <c r="M923" s="296"/>
      <c r="N923" s="295"/>
      <c r="P923" s="296"/>
      <c r="T923" s="292"/>
    </row>
    <row r="924" ht="12.75" customHeight="1">
      <c r="D924" s="293"/>
      <c r="E924" s="107"/>
      <c r="F924" s="294"/>
      <c r="G924" s="295"/>
      <c r="J924" s="296"/>
      <c r="K924" s="295"/>
      <c r="M924" s="296"/>
      <c r="N924" s="295"/>
      <c r="P924" s="296"/>
      <c r="T924" s="292"/>
    </row>
    <row r="925" ht="12.75" customHeight="1">
      <c r="D925" s="293"/>
      <c r="E925" s="107"/>
      <c r="F925" s="294"/>
      <c r="G925" s="295"/>
      <c r="J925" s="296"/>
      <c r="K925" s="295"/>
      <c r="M925" s="296"/>
      <c r="N925" s="295"/>
      <c r="P925" s="296"/>
      <c r="T925" s="292"/>
    </row>
    <row r="926" ht="12.75" customHeight="1">
      <c r="D926" s="293"/>
      <c r="E926" s="107"/>
      <c r="F926" s="294"/>
      <c r="G926" s="295"/>
      <c r="J926" s="296"/>
      <c r="K926" s="295"/>
      <c r="M926" s="296"/>
      <c r="N926" s="295"/>
      <c r="P926" s="296"/>
      <c r="T926" s="292"/>
    </row>
    <row r="927" ht="12.75" customHeight="1">
      <c r="D927" s="293"/>
      <c r="E927" s="107"/>
      <c r="F927" s="294"/>
      <c r="G927" s="295"/>
      <c r="J927" s="296"/>
      <c r="K927" s="295"/>
      <c r="M927" s="296"/>
      <c r="N927" s="295"/>
      <c r="P927" s="296"/>
      <c r="T927" s="292"/>
    </row>
    <row r="928" ht="12.75" customHeight="1">
      <c r="D928" s="293"/>
      <c r="E928" s="107"/>
      <c r="F928" s="294"/>
      <c r="G928" s="295"/>
      <c r="J928" s="296"/>
      <c r="K928" s="295"/>
      <c r="M928" s="296"/>
      <c r="N928" s="295"/>
      <c r="P928" s="296"/>
      <c r="T928" s="292"/>
    </row>
    <row r="929" ht="12.75" customHeight="1">
      <c r="D929" s="293"/>
      <c r="E929" s="107"/>
      <c r="F929" s="294"/>
      <c r="G929" s="295"/>
      <c r="J929" s="296"/>
      <c r="K929" s="295"/>
      <c r="M929" s="296"/>
      <c r="N929" s="295"/>
      <c r="P929" s="296"/>
      <c r="T929" s="292"/>
    </row>
    <row r="930" ht="12.75" customHeight="1">
      <c r="D930" s="293"/>
      <c r="E930" s="107"/>
      <c r="F930" s="294"/>
      <c r="G930" s="295"/>
      <c r="J930" s="296"/>
      <c r="K930" s="295"/>
      <c r="M930" s="296"/>
      <c r="N930" s="295"/>
      <c r="P930" s="296"/>
      <c r="T930" s="292"/>
    </row>
    <row r="931" ht="12.75" customHeight="1">
      <c r="D931" s="293"/>
      <c r="E931" s="107"/>
      <c r="F931" s="294"/>
      <c r="G931" s="295"/>
      <c r="J931" s="296"/>
      <c r="K931" s="295"/>
      <c r="M931" s="296"/>
      <c r="N931" s="295"/>
      <c r="P931" s="296"/>
      <c r="T931" s="292"/>
    </row>
    <row r="932" ht="12.75" customHeight="1">
      <c r="D932" s="293"/>
      <c r="E932" s="107"/>
      <c r="F932" s="294"/>
      <c r="G932" s="295"/>
      <c r="J932" s="296"/>
      <c r="K932" s="295"/>
      <c r="M932" s="296"/>
      <c r="N932" s="295"/>
      <c r="P932" s="296"/>
      <c r="T932" s="292"/>
    </row>
    <row r="933" ht="12.75" customHeight="1">
      <c r="D933" s="293"/>
      <c r="E933" s="107"/>
      <c r="F933" s="294"/>
      <c r="G933" s="295"/>
      <c r="J933" s="296"/>
      <c r="K933" s="295"/>
      <c r="M933" s="296"/>
      <c r="N933" s="295"/>
      <c r="P933" s="296"/>
      <c r="T933" s="292"/>
    </row>
    <row r="934" ht="12.75" customHeight="1">
      <c r="D934" s="293"/>
      <c r="E934" s="107"/>
      <c r="F934" s="294"/>
      <c r="G934" s="295"/>
      <c r="J934" s="296"/>
      <c r="K934" s="295"/>
      <c r="M934" s="296"/>
      <c r="N934" s="295"/>
      <c r="P934" s="296"/>
      <c r="T934" s="292"/>
    </row>
    <row r="935" ht="12.75" customHeight="1">
      <c r="D935" s="293"/>
      <c r="E935" s="107"/>
      <c r="F935" s="294"/>
      <c r="G935" s="295"/>
      <c r="J935" s="296"/>
      <c r="K935" s="295"/>
      <c r="M935" s="296"/>
      <c r="N935" s="295"/>
      <c r="P935" s="296"/>
      <c r="T935" s="292"/>
    </row>
    <row r="936" ht="12.75" customHeight="1">
      <c r="D936" s="293"/>
      <c r="E936" s="107"/>
      <c r="F936" s="294"/>
      <c r="G936" s="295"/>
      <c r="J936" s="296"/>
      <c r="K936" s="295"/>
      <c r="M936" s="296"/>
      <c r="N936" s="295"/>
      <c r="P936" s="296"/>
      <c r="T936" s="292"/>
    </row>
    <row r="937" ht="12.75" customHeight="1">
      <c r="D937" s="293"/>
      <c r="E937" s="107"/>
      <c r="F937" s="294"/>
      <c r="G937" s="295"/>
      <c r="J937" s="296"/>
      <c r="K937" s="295"/>
      <c r="M937" s="296"/>
      <c r="N937" s="295"/>
      <c r="P937" s="296"/>
      <c r="T937" s="292"/>
    </row>
    <row r="938" ht="12.75" customHeight="1">
      <c r="D938" s="293"/>
      <c r="E938" s="107"/>
      <c r="F938" s="294"/>
      <c r="G938" s="295"/>
      <c r="J938" s="296"/>
      <c r="K938" s="295"/>
      <c r="M938" s="296"/>
      <c r="N938" s="295"/>
      <c r="P938" s="296"/>
      <c r="T938" s="292"/>
    </row>
    <row r="939" ht="12.75" customHeight="1">
      <c r="D939" s="293"/>
      <c r="E939" s="107"/>
      <c r="F939" s="294"/>
      <c r="G939" s="295"/>
      <c r="J939" s="296"/>
      <c r="K939" s="295"/>
      <c r="M939" s="296"/>
      <c r="N939" s="295"/>
      <c r="P939" s="296"/>
      <c r="T939" s="292"/>
    </row>
    <row r="940" ht="12.75" customHeight="1">
      <c r="D940" s="293"/>
      <c r="E940" s="107"/>
      <c r="F940" s="294"/>
      <c r="G940" s="295"/>
      <c r="J940" s="296"/>
      <c r="K940" s="295"/>
      <c r="M940" s="296"/>
      <c r="N940" s="295"/>
      <c r="P940" s="296"/>
      <c r="T940" s="292"/>
    </row>
    <row r="941" ht="12.75" customHeight="1">
      <c r="D941" s="293"/>
      <c r="E941" s="107"/>
      <c r="F941" s="294"/>
      <c r="G941" s="295"/>
      <c r="J941" s="296"/>
      <c r="K941" s="295"/>
      <c r="M941" s="296"/>
      <c r="N941" s="295"/>
      <c r="P941" s="296"/>
      <c r="T941" s="292"/>
    </row>
    <row r="942" ht="12.75" customHeight="1">
      <c r="D942" s="293"/>
      <c r="E942" s="107"/>
      <c r="F942" s="294"/>
      <c r="G942" s="295"/>
      <c r="J942" s="296"/>
      <c r="K942" s="295"/>
      <c r="M942" s="296"/>
      <c r="N942" s="295"/>
      <c r="P942" s="296"/>
      <c r="T942" s="292"/>
    </row>
    <row r="943" ht="12.75" customHeight="1">
      <c r="D943" s="293"/>
      <c r="E943" s="107"/>
      <c r="F943" s="294"/>
      <c r="G943" s="295"/>
      <c r="J943" s="296"/>
      <c r="K943" s="295"/>
      <c r="M943" s="296"/>
      <c r="N943" s="295"/>
      <c r="P943" s="296"/>
      <c r="T943" s="292"/>
    </row>
    <row r="944" ht="12.75" customHeight="1">
      <c r="D944" s="293"/>
      <c r="E944" s="107"/>
      <c r="F944" s="294"/>
      <c r="G944" s="295"/>
      <c r="J944" s="296"/>
      <c r="K944" s="295"/>
      <c r="M944" s="296"/>
      <c r="N944" s="295"/>
      <c r="P944" s="296"/>
      <c r="T944" s="292"/>
    </row>
    <row r="945" ht="12.75" customHeight="1">
      <c r="D945" s="293"/>
      <c r="E945" s="107"/>
      <c r="F945" s="294"/>
      <c r="G945" s="295"/>
      <c r="J945" s="296"/>
      <c r="K945" s="295"/>
      <c r="M945" s="296"/>
      <c r="N945" s="295"/>
      <c r="P945" s="296"/>
      <c r="T945" s="292"/>
    </row>
    <row r="946" ht="12.75" customHeight="1">
      <c r="D946" s="293"/>
      <c r="E946" s="107"/>
      <c r="F946" s="294"/>
      <c r="G946" s="295"/>
      <c r="J946" s="296"/>
      <c r="K946" s="295"/>
      <c r="M946" s="296"/>
      <c r="N946" s="295"/>
      <c r="P946" s="296"/>
      <c r="T946" s="292"/>
    </row>
    <row r="947" ht="12.75" customHeight="1">
      <c r="D947" s="293"/>
      <c r="E947" s="107"/>
      <c r="F947" s="294"/>
      <c r="G947" s="295"/>
      <c r="J947" s="296"/>
      <c r="K947" s="295"/>
      <c r="M947" s="296"/>
      <c r="N947" s="295"/>
      <c r="P947" s="296"/>
      <c r="T947" s="292"/>
    </row>
    <row r="948" ht="12.75" customHeight="1">
      <c r="D948" s="293"/>
      <c r="E948" s="107"/>
      <c r="F948" s="294"/>
      <c r="G948" s="295"/>
      <c r="J948" s="296"/>
      <c r="K948" s="295"/>
      <c r="M948" s="296"/>
      <c r="N948" s="295"/>
      <c r="P948" s="296"/>
      <c r="T948" s="292"/>
    </row>
    <row r="949" ht="12.75" customHeight="1">
      <c r="D949" s="293"/>
      <c r="E949" s="107"/>
      <c r="F949" s="294"/>
      <c r="G949" s="295"/>
      <c r="J949" s="296"/>
      <c r="K949" s="295"/>
      <c r="M949" s="296"/>
      <c r="N949" s="295"/>
      <c r="P949" s="296"/>
      <c r="T949" s="292"/>
    </row>
    <row r="950" ht="12.75" customHeight="1">
      <c r="D950" s="293"/>
      <c r="E950" s="107"/>
      <c r="F950" s="294"/>
      <c r="G950" s="295"/>
      <c r="J950" s="296"/>
      <c r="K950" s="295"/>
      <c r="M950" s="296"/>
      <c r="N950" s="295"/>
      <c r="P950" s="296"/>
      <c r="T950" s="292"/>
    </row>
    <row r="951" ht="12.75" customHeight="1">
      <c r="D951" s="293"/>
      <c r="E951" s="107"/>
      <c r="F951" s="294"/>
      <c r="G951" s="295"/>
      <c r="J951" s="296"/>
      <c r="K951" s="295"/>
      <c r="M951" s="296"/>
      <c r="N951" s="295"/>
      <c r="P951" s="296"/>
      <c r="T951" s="292"/>
    </row>
    <row r="952" ht="12.75" customHeight="1">
      <c r="D952" s="293"/>
      <c r="E952" s="107"/>
      <c r="F952" s="294"/>
      <c r="G952" s="295"/>
      <c r="J952" s="296"/>
      <c r="K952" s="295"/>
      <c r="M952" s="296"/>
      <c r="N952" s="295"/>
      <c r="P952" s="296"/>
      <c r="T952" s="292"/>
    </row>
    <row r="953" ht="12.75" customHeight="1">
      <c r="D953" s="293"/>
      <c r="E953" s="107"/>
      <c r="F953" s="294"/>
      <c r="G953" s="295"/>
      <c r="J953" s="296"/>
      <c r="K953" s="295"/>
      <c r="M953" s="296"/>
      <c r="N953" s="295"/>
      <c r="P953" s="296"/>
      <c r="T953" s="292"/>
    </row>
    <row r="954" ht="12.75" customHeight="1">
      <c r="D954" s="293"/>
      <c r="E954" s="107"/>
      <c r="F954" s="294"/>
      <c r="G954" s="295"/>
      <c r="J954" s="296"/>
      <c r="K954" s="295"/>
      <c r="M954" s="296"/>
      <c r="N954" s="295"/>
      <c r="P954" s="296"/>
      <c r="T954" s="292"/>
    </row>
    <row r="955" ht="12.75" customHeight="1">
      <c r="D955" s="293"/>
      <c r="E955" s="107"/>
      <c r="F955" s="294"/>
      <c r="G955" s="295"/>
      <c r="J955" s="296"/>
      <c r="K955" s="295"/>
      <c r="M955" s="296"/>
      <c r="N955" s="295"/>
      <c r="P955" s="296"/>
      <c r="T955" s="292"/>
    </row>
    <row r="956" ht="12.75" customHeight="1">
      <c r="D956" s="293"/>
      <c r="E956" s="107"/>
      <c r="F956" s="294"/>
      <c r="G956" s="295"/>
      <c r="J956" s="296"/>
      <c r="K956" s="295"/>
      <c r="M956" s="296"/>
      <c r="N956" s="295"/>
      <c r="P956" s="296"/>
      <c r="T956" s="292"/>
    </row>
    <row r="957" ht="12.75" customHeight="1">
      <c r="D957" s="293"/>
      <c r="E957" s="107"/>
      <c r="F957" s="294"/>
      <c r="G957" s="295"/>
      <c r="J957" s="296"/>
      <c r="K957" s="295"/>
      <c r="M957" s="296"/>
      <c r="N957" s="295"/>
      <c r="P957" s="296"/>
      <c r="T957" s="292"/>
    </row>
    <row r="958" ht="12.75" customHeight="1">
      <c r="D958" s="293"/>
      <c r="E958" s="107"/>
      <c r="F958" s="294"/>
      <c r="G958" s="295"/>
      <c r="J958" s="296"/>
      <c r="K958" s="295"/>
      <c r="M958" s="296"/>
      <c r="N958" s="295"/>
      <c r="P958" s="296"/>
      <c r="T958" s="292"/>
    </row>
    <row r="959" ht="12.75" customHeight="1">
      <c r="D959" s="293"/>
      <c r="E959" s="107"/>
      <c r="F959" s="294"/>
      <c r="G959" s="295"/>
      <c r="J959" s="296"/>
      <c r="K959" s="295"/>
      <c r="M959" s="296"/>
      <c r="N959" s="295"/>
      <c r="P959" s="296"/>
      <c r="T959" s="292"/>
    </row>
    <row r="960" ht="12.75" customHeight="1">
      <c r="D960" s="293"/>
      <c r="E960" s="107"/>
      <c r="F960" s="294"/>
      <c r="G960" s="295"/>
      <c r="J960" s="296"/>
      <c r="K960" s="295"/>
      <c r="M960" s="296"/>
      <c r="N960" s="295"/>
      <c r="P960" s="296"/>
      <c r="T960" s="292"/>
    </row>
    <row r="961" ht="12.75" customHeight="1">
      <c r="D961" s="293"/>
      <c r="E961" s="107"/>
      <c r="F961" s="294"/>
      <c r="G961" s="295"/>
      <c r="J961" s="296"/>
      <c r="K961" s="295"/>
      <c r="M961" s="296"/>
      <c r="N961" s="295"/>
      <c r="P961" s="296"/>
      <c r="T961" s="292"/>
    </row>
    <row r="962" ht="12.75" customHeight="1">
      <c r="D962" s="293"/>
      <c r="E962" s="107"/>
      <c r="F962" s="294"/>
      <c r="G962" s="295"/>
      <c r="J962" s="296"/>
      <c r="K962" s="295"/>
      <c r="M962" s="296"/>
      <c r="N962" s="295"/>
      <c r="P962" s="296"/>
      <c r="T962" s="292"/>
    </row>
    <row r="963" ht="12.75" customHeight="1">
      <c r="D963" s="293"/>
      <c r="E963" s="107"/>
      <c r="F963" s="294"/>
      <c r="G963" s="295"/>
      <c r="J963" s="296"/>
      <c r="K963" s="295"/>
      <c r="M963" s="296"/>
      <c r="N963" s="295"/>
      <c r="P963" s="296"/>
      <c r="T963" s="292"/>
    </row>
    <row r="964" ht="12.75" customHeight="1">
      <c r="D964" s="293"/>
      <c r="E964" s="107"/>
      <c r="F964" s="294"/>
      <c r="G964" s="295"/>
      <c r="J964" s="296"/>
      <c r="K964" s="295"/>
      <c r="M964" s="296"/>
      <c r="N964" s="295"/>
      <c r="P964" s="296"/>
      <c r="T964" s="292"/>
    </row>
    <row r="965" ht="12.75" customHeight="1">
      <c r="D965" s="293"/>
      <c r="E965" s="107"/>
      <c r="F965" s="294"/>
      <c r="G965" s="295"/>
      <c r="J965" s="296"/>
      <c r="K965" s="295"/>
      <c r="M965" s="296"/>
      <c r="N965" s="295"/>
      <c r="P965" s="296"/>
      <c r="T965" s="292"/>
    </row>
    <row r="966" ht="12.75" customHeight="1">
      <c r="D966" s="293"/>
      <c r="E966" s="107"/>
      <c r="F966" s="294"/>
      <c r="G966" s="295"/>
      <c r="J966" s="296"/>
      <c r="K966" s="295"/>
      <c r="M966" s="296"/>
      <c r="N966" s="295"/>
      <c r="P966" s="296"/>
      <c r="T966" s="292"/>
    </row>
    <row r="967" ht="12.75" customHeight="1">
      <c r="D967" s="293"/>
      <c r="E967" s="107"/>
      <c r="F967" s="294"/>
      <c r="G967" s="295"/>
      <c r="J967" s="296"/>
      <c r="K967" s="295"/>
      <c r="M967" s="296"/>
      <c r="N967" s="295"/>
      <c r="P967" s="296"/>
      <c r="T967" s="292"/>
    </row>
    <row r="968" ht="12.75" customHeight="1">
      <c r="D968" s="293"/>
      <c r="E968" s="107"/>
      <c r="F968" s="294"/>
      <c r="G968" s="295"/>
      <c r="J968" s="296"/>
      <c r="K968" s="295"/>
      <c r="M968" s="296"/>
      <c r="N968" s="295"/>
      <c r="P968" s="296"/>
      <c r="T968" s="292"/>
    </row>
    <row r="969" ht="12.75" customHeight="1">
      <c r="D969" s="293"/>
      <c r="E969" s="107"/>
      <c r="F969" s="294"/>
      <c r="G969" s="295"/>
      <c r="J969" s="296"/>
      <c r="K969" s="295"/>
      <c r="M969" s="296"/>
      <c r="N969" s="295"/>
      <c r="P969" s="296"/>
      <c r="T969" s="292"/>
    </row>
    <row r="970" ht="12.75" customHeight="1">
      <c r="D970" s="293"/>
      <c r="E970" s="107"/>
      <c r="F970" s="294"/>
      <c r="G970" s="295"/>
      <c r="J970" s="296"/>
      <c r="K970" s="295"/>
      <c r="M970" s="296"/>
      <c r="N970" s="295"/>
      <c r="P970" s="296"/>
      <c r="T970" s="292"/>
    </row>
    <row r="971" ht="12.75" customHeight="1">
      <c r="D971" s="293"/>
      <c r="E971" s="107"/>
      <c r="F971" s="294"/>
      <c r="G971" s="295"/>
      <c r="J971" s="296"/>
      <c r="K971" s="295"/>
      <c r="M971" s="296"/>
      <c r="N971" s="295"/>
      <c r="P971" s="296"/>
      <c r="T971" s="292"/>
    </row>
    <row r="972" ht="12.75" customHeight="1">
      <c r="D972" s="293"/>
      <c r="E972" s="107"/>
      <c r="F972" s="294"/>
      <c r="G972" s="295"/>
      <c r="J972" s="296"/>
      <c r="K972" s="295"/>
      <c r="M972" s="296"/>
      <c r="N972" s="295"/>
      <c r="P972" s="296"/>
      <c r="T972" s="292"/>
    </row>
    <row r="973" ht="12.75" customHeight="1">
      <c r="D973" s="293"/>
      <c r="E973" s="107"/>
      <c r="F973" s="294"/>
      <c r="G973" s="295"/>
      <c r="J973" s="296"/>
      <c r="K973" s="295"/>
      <c r="M973" s="296"/>
      <c r="N973" s="295"/>
      <c r="P973" s="296"/>
      <c r="T973" s="292"/>
    </row>
    <row r="974" ht="12.75" customHeight="1">
      <c r="D974" s="293"/>
      <c r="E974" s="107"/>
      <c r="F974" s="294"/>
      <c r="G974" s="295"/>
      <c r="J974" s="296"/>
      <c r="K974" s="295"/>
      <c r="M974" s="296"/>
      <c r="N974" s="295"/>
      <c r="P974" s="296"/>
      <c r="T974" s="292"/>
    </row>
    <row r="975" ht="12.75" customHeight="1">
      <c r="D975" s="293"/>
      <c r="E975" s="107"/>
      <c r="F975" s="294"/>
      <c r="G975" s="295"/>
      <c r="J975" s="296"/>
      <c r="K975" s="295"/>
      <c r="M975" s="296"/>
      <c r="N975" s="295"/>
      <c r="P975" s="296"/>
      <c r="T975" s="292"/>
    </row>
    <row r="976" ht="12.75" customHeight="1">
      <c r="D976" s="293"/>
      <c r="E976" s="107"/>
      <c r="F976" s="294"/>
      <c r="G976" s="295"/>
      <c r="J976" s="296"/>
      <c r="K976" s="295"/>
      <c r="M976" s="296"/>
      <c r="N976" s="295"/>
      <c r="P976" s="296"/>
      <c r="T976" s="292"/>
    </row>
    <row r="977" ht="12.75" customHeight="1">
      <c r="D977" s="293"/>
      <c r="E977" s="107"/>
      <c r="F977" s="294"/>
      <c r="G977" s="295"/>
      <c r="J977" s="296"/>
      <c r="K977" s="295"/>
      <c r="M977" s="296"/>
      <c r="N977" s="295"/>
      <c r="P977" s="296"/>
      <c r="T977" s="292"/>
    </row>
    <row r="978" ht="12.75" customHeight="1">
      <c r="D978" s="293"/>
      <c r="E978" s="107"/>
      <c r="F978" s="294"/>
      <c r="G978" s="295"/>
      <c r="J978" s="296"/>
      <c r="K978" s="295"/>
      <c r="M978" s="296"/>
      <c r="N978" s="295"/>
      <c r="P978" s="296"/>
      <c r="T978" s="292"/>
    </row>
    <row r="979" ht="12.75" customHeight="1">
      <c r="D979" s="293"/>
      <c r="E979" s="107"/>
      <c r="F979" s="294"/>
      <c r="G979" s="295"/>
      <c r="J979" s="296"/>
      <c r="K979" s="295"/>
      <c r="M979" s="296"/>
      <c r="N979" s="295"/>
      <c r="P979" s="296"/>
      <c r="T979" s="292"/>
    </row>
    <row r="980" ht="12.75" customHeight="1">
      <c r="D980" s="293"/>
      <c r="E980" s="107"/>
      <c r="F980" s="294"/>
      <c r="G980" s="295"/>
      <c r="J980" s="296"/>
      <c r="K980" s="295"/>
      <c r="M980" s="296"/>
      <c r="N980" s="295"/>
      <c r="P980" s="296"/>
      <c r="T980" s="292"/>
    </row>
    <row r="981" ht="12.75" customHeight="1">
      <c r="D981" s="293"/>
      <c r="E981" s="107"/>
      <c r="F981" s="294"/>
      <c r="G981" s="295"/>
      <c r="J981" s="296"/>
      <c r="K981" s="295"/>
      <c r="M981" s="296"/>
      <c r="N981" s="295"/>
      <c r="P981" s="296"/>
      <c r="T981" s="292"/>
    </row>
    <row r="982" ht="12.75" customHeight="1">
      <c r="D982" s="293"/>
      <c r="E982" s="107"/>
      <c r="F982" s="294"/>
      <c r="G982" s="295"/>
      <c r="J982" s="296"/>
      <c r="K982" s="295"/>
      <c r="M982" s="296"/>
      <c r="N982" s="295"/>
      <c r="P982" s="296"/>
      <c r="T982" s="292"/>
    </row>
    <row r="983" ht="12.75" customHeight="1">
      <c r="D983" s="293"/>
      <c r="E983" s="107"/>
      <c r="F983" s="294"/>
      <c r="G983" s="295"/>
      <c r="J983" s="296"/>
      <c r="K983" s="295"/>
      <c r="M983" s="296"/>
      <c r="N983" s="295"/>
      <c r="P983" s="296"/>
      <c r="T983" s="292"/>
    </row>
    <row r="984" ht="12.75" customHeight="1">
      <c r="D984" s="293"/>
      <c r="E984" s="107"/>
      <c r="F984" s="294"/>
      <c r="G984" s="295"/>
      <c r="J984" s="296"/>
      <c r="K984" s="295"/>
      <c r="M984" s="296"/>
      <c r="N984" s="295"/>
      <c r="P984" s="296"/>
      <c r="T984" s="292"/>
    </row>
    <row r="985" ht="12.75" customHeight="1">
      <c r="D985" s="293"/>
      <c r="E985" s="107"/>
      <c r="F985" s="294"/>
      <c r="G985" s="295"/>
      <c r="J985" s="296"/>
      <c r="K985" s="295"/>
      <c r="M985" s="296"/>
      <c r="N985" s="295"/>
      <c r="P985" s="296"/>
      <c r="T985" s="292"/>
    </row>
    <row r="986" ht="12.75" customHeight="1">
      <c r="D986" s="293"/>
      <c r="E986" s="107"/>
      <c r="F986" s="294"/>
      <c r="G986" s="295"/>
      <c r="J986" s="296"/>
      <c r="K986" s="295"/>
      <c r="M986" s="296"/>
      <c r="N986" s="295"/>
      <c r="P986" s="296"/>
      <c r="T986" s="292"/>
    </row>
    <row r="987" ht="12.75" customHeight="1">
      <c r="D987" s="293"/>
      <c r="E987" s="107"/>
      <c r="F987" s="294"/>
      <c r="G987" s="295"/>
      <c r="J987" s="296"/>
      <c r="K987" s="295"/>
      <c r="M987" s="296"/>
      <c r="N987" s="295"/>
      <c r="P987" s="296"/>
      <c r="T987" s="292"/>
    </row>
    <row r="988" ht="12.75" customHeight="1">
      <c r="D988" s="293"/>
      <c r="E988" s="107"/>
      <c r="F988" s="294"/>
      <c r="G988" s="295"/>
      <c r="J988" s="296"/>
      <c r="K988" s="295"/>
      <c r="M988" s="296"/>
      <c r="N988" s="295"/>
      <c r="P988" s="296"/>
      <c r="T988" s="292"/>
    </row>
    <row r="989" ht="12.75" customHeight="1">
      <c r="D989" s="293"/>
      <c r="E989" s="107"/>
      <c r="F989" s="294"/>
      <c r="G989" s="295"/>
      <c r="J989" s="296"/>
      <c r="K989" s="295"/>
      <c r="M989" s="296"/>
      <c r="N989" s="295"/>
      <c r="P989" s="296"/>
      <c r="T989" s="292"/>
    </row>
    <row r="990" ht="12.75" customHeight="1">
      <c r="D990" s="293"/>
      <c r="E990" s="107"/>
      <c r="F990" s="294"/>
      <c r="G990" s="295"/>
      <c r="J990" s="296"/>
      <c r="K990" s="295"/>
      <c r="M990" s="296"/>
      <c r="N990" s="295"/>
      <c r="P990" s="296"/>
      <c r="T990" s="292"/>
    </row>
    <row r="991" ht="12.75" customHeight="1">
      <c r="D991" s="293"/>
      <c r="E991" s="107"/>
      <c r="F991" s="294"/>
      <c r="G991" s="295"/>
      <c r="J991" s="296"/>
      <c r="K991" s="295"/>
      <c r="M991" s="296"/>
      <c r="N991" s="295"/>
      <c r="P991" s="296"/>
      <c r="T991" s="292"/>
    </row>
    <row r="992">
      <c r="E992" s="299"/>
      <c r="F992" s="294"/>
      <c r="G992" s="295"/>
      <c r="J992" s="296"/>
      <c r="K992" s="295"/>
      <c r="M992" s="296"/>
      <c r="N992" s="295"/>
      <c r="P992" s="296"/>
    </row>
  </sheetData>
  <autoFilter ref="$A$3:$T$100"/>
  <mergeCells count="4">
    <mergeCell ref="E2:F2"/>
    <mergeCell ref="G2:J2"/>
    <mergeCell ref="K2:M2"/>
    <mergeCell ref="N2:P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25"/>
    <col customWidth="1" min="2" max="2" width="6.63"/>
    <col customWidth="1" min="3" max="3" width="13.0"/>
    <col customWidth="1" min="4" max="4" width="7.25"/>
    <col customWidth="1" min="5" max="5" width="11.75"/>
    <col customWidth="1" min="6" max="6" width="11.0"/>
    <col customWidth="1" min="7" max="7" width="6.88"/>
    <col customWidth="1" min="8" max="8" width="10.0"/>
    <col customWidth="1" min="9" max="9" width="9.63"/>
    <col customWidth="1" min="10" max="10" width="10.63"/>
    <col customWidth="1" min="11" max="11" width="6.5"/>
    <col customWidth="1" min="12" max="12" width="10.5"/>
    <col customWidth="1" min="13" max="13" width="10.63"/>
    <col customWidth="1" min="14" max="14" width="7.5"/>
    <col customWidth="1" min="15" max="15" width="10.13"/>
    <col customWidth="1" min="16" max="16" width="10.25"/>
    <col customWidth="1" min="18" max="18" width="5.75"/>
    <col customWidth="1" min="19" max="19" width="13.63"/>
    <col customWidth="1" min="20" max="20" width="12.88"/>
    <col customWidth="1" min="21" max="21" width="13.5"/>
    <col customWidth="1" min="22" max="22" width="11.75"/>
    <col customWidth="1" min="23" max="33" width="10.0"/>
  </cols>
  <sheetData>
    <row r="1" ht="15.75" customHeight="1">
      <c r="A1" s="1" t="s">
        <v>0</v>
      </c>
      <c r="B1" s="1"/>
      <c r="C1" s="1"/>
      <c r="D1" s="1"/>
      <c r="E1" s="2"/>
      <c r="F1" s="2"/>
      <c r="G1" s="3"/>
      <c r="H1" s="1"/>
      <c r="I1" s="1"/>
      <c r="J1" s="1"/>
      <c r="K1" s="3"/>
      <c r="L1" s="1"/>
      <c r="M1" s="1"/>
      <c r="N1" s="3"/>
      <c r="O1" s="1"/>
      <c r="P1" s="1"/>
      <c r="Q1" s="1"/>
      <c r="R1" s="1"/>
      <c r="S1" s="4"/>
      <c r="T1" s="5">
        <v>46079.0</v>
      </c>
    </row>
    <row r="2" ht="27.0" customHeight="1">
      <c r="A2" s="6"/>
      <c r="B2" s="7"/>
      <c r="C2" s="8"/>
      <c r="D2" s="7"/>
      <c r="E2" s="9" t="s">
        <v>1</v>
      </c>
      <c r="F2" s="10"/>
      <c r="G2" s="11" t="s">
        <v>2</v>
      </c>
      <c r="H2" s="12"/>
      <c r="I2" s="12"/>
      <c r="J2" s="10"/>
      <c r="K2" s="13" t="s">
        <v>3</v>
      </c>
      <c r="L2" s="12"/>
      <c r="M2" s="10"/>
      <c r="N2" s="14" t="s">
        <v>4</v>
      </c>
      <c r="O2" s="12"/>
      <c r="P2" s="10"/>
      <c r="Q2" s="8" t="s">
        <v>5</v>
      </c>
      <c r="R2" s="15" t="s">
        <v>6</v>
      </c>
      <c r="S2" s="16" t="s">
        <v>7</v>
      </c>
      <c r="T2" s="17" t="s">
        <v>8</v>
      </c>
    </row>
    <row r="3" ht="30.75" customHeight="1">
      <c r="A3" s="18" t="s">
        <v>9</v>
      </c>
      <c r="B3" s="19" t="s">
        <v>10</v>
      </c>
      <c r="C3" s="20" t="s">
        <v>11</v>
      </c>
      <c r="D3" s="20" t="s">
        <v>12</v>
      </c>
      <c r="E3" s="21" t="s">
        <v>13</v>
      </c>
      <c r="F3" s="22" t="s">
        <v>14</v>
      </c>
      <c r="G3" s="23" t="s">
        <v>15</v>
      </c>
      <c r="H3" s="24">
        <v>12000.0</v>
      </c>
      <c r="I3" s="25">
        <v>0.96</v>
      </c>
      <c r="J3" s="26" t="s">
        <v>14</v>
      </c>
      <c r="K3" s="27" t="s">
        <v>15</v>
      </c>
      <c r="L3" s="28">
        <v>14606.0</v>
      </c>
      <c r="M3" s="29" t="s">
        <v>14</v>
      </c>
      <c r="N3" s="30" t="s">
        <v>15</v>
      </c>
      <c r="O3" s="31">
        <v>17300.0</v>
      </c>
      <c r="P3" s="32" t="s">
        <v>14</v>
      </c>
      <c r="Q3" s="33" t="s">
        <v>14</v>
      </c>
      <c r="R3" s="34" t="s">
        <v>16</v>
      </c>
      <c r="S3" s="35" t="s">
        <v>17</v>
      </c>
      <c r="T3" s="36" t="s">
        <v>18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ht="13.5" customHeight="1">
      <c r="A4" s="38" t="s">
        <v>19</v>
      </c>
      <c r="B4" s="39">
        <v>10709.0</v>
      </c>
      <c r="C4" s="40" t="s">
        <v>20</v>
      </c>
      <c r="D4" s="41">
        <v>0.35</v>
      </c>
      <c r="E4" s="300">
        <v>242500.0</v>
      </c>
      <c r="F4" s="43">
        <f t="shared" ref="F4:F5" si="1">E4*D4</f>
        <v>84875</v>
      </c>
      <c r="G4" s="44">
        <v>24.0</v>
      </c>
      <c r="H4" s="45">
        <f t="shared" ref="H4:H5" si="2">G4*$H$3</f>
        <v>288000</v>
      </c>
      <c r="I4" s="45">
        <f t="shared" ref="I4:I5" si="3">H4*$I$3</f>
        <v>276480</v>
      </c>
      <c r="J4" s="46">
        <f t="shared" ref="J4:J5" si="4">I4*D4</f>
        <v>96768</v>
      </c>
      <c r="K4" s="47">
        <v>3.0</v>
      </c>
      <c r="L4" s="45">
        <f>K4*$L$3</f>
        <v>43818</v>
      </c>
      <c r="M4" s="48">
        <f>L4*$D$4</f>
        <v>15336.3</v>
      </c>
      <c r="N4" s="47">
        <v>0.0</v>
      </c>
      <c r="O4" s="45">
        <f>N4*$O$3</f>
        <v>0</v>
      </c>
      <c r="P4" s="49">
        <f>O4*D4</f>
        <v>0</v>
      </c>
      <c r="Q4" s="50">
        <f t="shared" ref="Q4:Q5" si="5">F4+J4+M4+P4</f>
        <v>196979.3</v>
      </c>
      <c r="R4" s="51"/>
      <c r="S4" s="52"/>
      <c r="T4" s="53">
        <f t="shared" ref="T4:T5" si="6">Q4</f>
        <v>196979.3</v>
      </c>
    </row>
    <row r="5" ht="12.0" customHeight="1">
      <c r="A5" s="54" t="s">
        <v>21</v>
      </c>
      <c r="B5" s="55">
        <v>19641.0</v>
      </c>
      <c r="C5" s="56" t="s">
        <v>22</v>
      </c>
      <c r="D5" s="57">
        <v>0.35</v>
      </c>
      <c r="E5" s="300">
        <v>329600.0</v>
      </c>
      <c r="F5" s="59">
        <f t="shared" si="1"/>
        <v>115360</v>
      </c>
      <c r="G5" s="60">
        <v>22.0</v>
      </c>
      <c r="H5" s="61">
        <f t="shared" si="2"/>
        <v>264000</v>
      </c>
      <c r="I5" s="61">
        <f t="shared" si="3"/>
        <v>253440</v>
      </c>
      <c r="J5" s="62">
        <f t="shared" si="4"/>
        <v>88704</v>
      </c>
      <c r="K5" s="63"/>
      <c r="L5" s="64"/>
      <c r="M5" s="65"/>
      <c r="N5" s="63"/>
      <c r="O5" s="64"/>
      <c r="P5" s="65"/>
      <c r="Q5" s="50">
        <f t="shared" si="5"/>
        <v>204064</v>
      </c>
      <c r="R5" s="66"/>
      <c r="S5" s="67">
        <f>SUM(Q4:Q5)</f>
        <v>401043.3</v>
      </c>
      <c r="T5" s="68">
        <f t="shared" si="6"/>
        <v>204064</v>
      </c>
    </row>
    <row r="6" ht="13.5" customHeight="1">
      <c r="A6" s="69" t="s">
        <v>23</v>
      </c>
      <c r="B6" s="70">
        <v>28692.0</v>
      </c>
      <c r="C6" s="71" t="s">
        <v>24</v>
      </c>
      <c r="D6" s="72"/>
      <c r="E6" s="73"/>
      <c r="F6" s="73"/>
      <c r="G6" s="74"/>
      <c r="H6" s="75"/>
      <c r="I6" s="75"/>
      <c r="J6" s="76"/>
      <c r="K6" s="77"/>
      <c r="L6" s="75"/>
      <c r="M6" s="78"/>
      <c r="N6" s="77"/>
      <c r="O6" s="75"/>
      <c r="P6" s="78"/>
      <c r="Q6" s="79" t="str">
        <f>E6</f>
        <v/>
      </c>
      <c r="R6" s="80"/>
      <c r="S6" s="81"/>
      <c r="T6" s="301">
        <v>974711.7</v>
      </c>
      <c r="U6" s="83" t="s">
        <v>25</v>
      </c>
    </row>
    <row r="7" ht="14.25" customHeight="1">
      <c r="A7" s="84" t="s">
        <v>26</v>
      </c>
      <c r="B7" s="85" t="s">
        <v>27</v>
      </c>
      <c r="C7" s="86" t="s">
        <v>28</v>
      </c>
      <c r="D7" s="87">
        <v>0.23</v>
      </c>
      <c r="E7" s="88"/>
      <c r="F7" s="89">
        <f t="shared" ref="F7:F30" si="7">E7*D7</f>
        <v>0</v>
      </c>
      <c r="G7" s="90"/>
      <c r="H7" s="91"/>
      <c r="I7" s="91"/>
      <c r="J7" s="92"/>
      <c r="K7" s="93"/>
      <c r="L7" s="94"/>
      <c r="M7" s="95"/>
      <c r="N7" s="93"/>
      <c r="O7" s="94"/>
      <c r="P7" s="95"/>
      <c r="Q7" s="50">
        <f t="shared" ref="Q7:Q25" si="8">F7+J7+M7+P7</f>
        <v>0</v>
      </c>
      <c r="R7" s="96"/>
      <c r="S7" s="67">
        <f>SUM(Q7)</f>
        <v>0</v>
      </c>
      <c r="T7" s="97">
        <f>Q7</f>
        <v>0</v>
      </c>
    </row>
    <row r="8" ht="13.5" customHeight="1">
      <c r="A8" s="38" t="s">
        <v>29</v>
      </c>
      <c r="B8" s="39">
        <v>18345.0</v>
      </c>
      <c r="C8" s="40" t="s">
        <v>30</v>
      </c>
      <c r="D8" s="98">
        <v>0.3</v>
      </c>
      <c r="E8" s="99">
        <v>573400.0</v>
      </c>
      <c r="F8" s="48">
        <f t="shared" si="7"/>
        <v>172020</v>
      </c>
      <c r="G8" s="44">
        <v>30.0</v>
      </c>
      <c r="H8" s="45">
        <f t="shared" ref="H8:H9" si="9">G8*$H$3</f>
        <v>360000</v>
      </c>
      <c r="I8" s="45">
        <f t="shared" ref="I8:I9" si="10">H8*$I$3</f>
        <v>345600</v>
      </c>
      <c r="J8" s="46">
        <f>D8*E8</f>
        <v>172020</v>
      </c>
      <c r="K8" s="47">
        <v>0.0</v>
      </c>
      <c r="L8" s="45">
        <f t="shared" ref="L8:L9" si="11">K8*$L$3</f>
        <v>0</v>
      </c>
      <c r="M8" s="49">
        <f>L8*E8</f>
        <v>0</v>
      </c>
      <c r="N8" s="47">
        <v>0.0</v>
      </c>
      <c r="O8" s="45">
        <f>N8*$O$3</f>
        <v>0</v>
      </c>
      <c r="P8" s="49">
        <f>O8*E8</f>
        <v>0</v>
      </c>
      <c r="Q8" s="50">
        <f t="shared" si="8"/>
        <v>344040</v>
      </c>
      <c r="R8" s="100">
        <v>0.4</v>
      </c>
      <c r="S8" s="101"/>
      <c r="T8" s="102">
        <f t="shared" ref="T8:T10" si="12">$S$11*R8</f>
        <v>234277.44</v>
      </c>
    </row>
    <row r="9" ht="13.5" customHeight="1">
      <c r="A9" s="103" t="s">
        <v>29</v>
      </c>
      <c r="B9" s="104">
        <v>24425.0</v>
      </c>
      <c r="C9" s="105" t="s">
        <v>31</v>
      </c>
      <c r="D9" s="98">
        <v>0.3</v>
      </c>
      <c r="E9" s="300">
        <v>436000.0</v>
      </c>
      <c r="F9" s="48">
        <f t="shared" si="7"/>
        <v>130800</v>
      </c>
      <c r="G9" s="106">
        <v>15.0</v>
      </c>
      <c r="H9" s="107">
        <f t="shared" si="9"/>
        <v>180000</v>
      </c>
      <c r="I9" s="107">
        <f t="shared" si="10"/>
        <v>172800</v>
      </c>
      <c r="J9" s="48">
        <f>I9*D9</f>
        <v>51840</v>
      </c>
      <c r="K9" s="108">
        <v>2.0</v>
      </c>
      <c r="L9" s="107">
        <f t="shared" si="11"/>
        <v>29212</v>
      </c>
      <c r="M9" s="48">
        <f>L9*D9</f>
        <v>8763.6</v>
      </c>
      <c r="N9" s="109"/>
      <c r="O9" s="110"/>
      <c r="P9" s="111"/>
      <c r="Q9" s="50">
        <f t="shared" si="8"/>
        <v>191403.6</v>
      </c>
      <c r="R9" s="112">
        <v>0.37</v>
      </c>
      <c r="S9" s="101"/>
      <c r="T9" s="102">
        <f t="shared" si="12"/>
        <v>216706.632</v>
      </c>
    </row>
    <row r="10" ht="13.5" customHeight="1">
      <c r="A10" s="103" t="s">
        <v>32</v>
      </c>
      <c r="B10" s="104">
        <v>33008.0</v>
      </c>
      <c r="C10" s="105" t="s">
        <v>33</v>
      </c>
      <c r="D10" s="98">
        <v>0.3</v>
      </c>
      <c r="E10" s="300">
        <v>109500.0</v>
      </c>
      <c r="F10" s="48">
        <f t="shared" si="7"/>
        <v>32850</v>
      </c>
      <c r="G10" s="113"/>
      <c r="H10" s="110"/>
      <c r="I10" s="110"/>
      <c r="J10" s="114"/>
      <c r="K10" s="109"/>
      <c r="L10" s="110"/>
      <c r="M10" s="111"/>
      <c r="N10" s="109"/>
      <c r="O10" s="110"/>
      <c r="P10" s="111"/>
      <c r="Q10" s="50">
        <f t="shared" si="8"/>
        <v>32850</v>
      </c>
      <c r="R10" s="112">
        <v>0.23</v>
      </c>
      <c r="S10" s="101"/>
      <c r="T10" s="102">
        <f t="shared" si="12"/>
        <v>134709.528</v>
      </c>
    </row>
    <row r="11" ht="13.5" customHeight="1">
      <c r="A11" s="103" t="s">
        <v>32</v>
      </c>
      <c r="B11" s="115">
        <v>6666.0</v>
      </c>
      <c r="C11" s="116" t="s">
        <v>34</v>
      </c>
      <c r="D11" s="117">
        <v>0.3</v>
      </c>
      <c r="E11" s="118">
        <v>58000.0</v>
      </c>
      <c r="F11" s="119">
        <f t="shared" si="7"/>
        <v>17400</v>
      </c>
      <c r="G11" s="120"/>
      <c r="H11" s="121">
        <f t="shared" ref="H11:H14" si="13">G11*$H$3</f>
        <v>0</v>
      </c>
      <c r="I11" s="121">
        <f t="shared" ref="I11:I14" si="14">H11*$I$3</f>
        <v>0</v>
      </c>
      <c r="J11" s="122">
        <f t="shared" ref="J11:J14" si="15">I11*D11</f>
        <v>0</v>
      </c>
      <c r="K11" s="120"/>
      <c r="L11" s="121">
        <f>K11*$L$3</f>
        <v>0</v>
      </c>
      <c r="M11" s="122">
        <f>L11*D11</f>
        <v>0</v>
      </c>
      <c r="N11" s="123"/>
      <c r="O11" s="121">
        <f>N11*$O$3</f>
        <v>0</v>
      </c>
      <c r="P11" s="122">
        <f>O11*$D11</f>
        <v>0</v>
      </c>
      <c r="Q11" s="50">
        <f t="shared" si="8"/>
        <v>17400</v>
      </c>
      <c r="R11" s="66"/>
      <c r="S11" s="67">
        <f>SUM(Q8:Q11)</f>
        <v>585693.6</v>
      </c>
      <c r="T11" s="82"/>
      <c r="U11" s="124" t="s">
        <v>35</v>
      </c>
    </row>
    <row r="12" ht="13.5" customHeight="1">
      <c r="A12" s="38" t="s">
        <v>36</v>
      </c>
      <c r="B12" s="39">
        <v>19788.0</v>
      </c>
      <c r="C12" s="125" t="s">
        <v>37</v>
      </c>
      <c r="D12" s="126">
        <v>0.2</v>
      </c>
      <c r="E12" s="99">
        <v>226300.0</v>
      </c>
      <c r="F12" s="46">
        <f t="shared" si="7"/>
        <v>45260</v>
      </c>
      <c r="G12" s="44">
        <v>25.0</v>
      </c>
      <c r="H12" s="45">
        <f t="shared" si="13"/>
        <v>300000</v>
      </c>
      <c r="I12" s="45">
        <f t="shared" si="14"/>
        <v>288000</v>
      </c>
      <c r="J12" s="46">
        <f t="shared" si="15"/>
        <v>57600</v>
      </c>
      <c r="K12" s="127"/>
      <c r="L12" s="128"/>
      <c r="M12" s="129"/>
      <c r="N12" s="127"/>
      <c r="O12" s="128"/>
      <c r="P12" s="129"/>
      <c r="Q12" s="50">
        <f t="shared" si="8"/>
        <v>102860</v>
      </c>
      <c r="R12" s="100"/>
      <c r="S12" s="130"/>
      <c r="T12" s="53">
        <f t="shared" ref="T12:T13" si="16">Q12</f>
        <v>102860</v>
      </c>
    </row>
    <row r="13" ht="13.5" customHeight="1">
      <c r="A13" s="103" t="s">
        <v>38</v>
      </c>
      <c r="B13" s="104">
        <v>19541.0</v>
      </c>
      <c r="C13" s="105" t="s">
        <v>39</v>
      </c>
      <c r="D13" s="131">
        <v>0.2</v>
      </c>
      <c r="E13" s="300">
        <v>335200.0</v>
      </c>
      <c r="F13" s="48">
        <f t="shared" si="7"/>
        <v>67040</v>
      </c>
      <c r="G13" s="106">
        <v>46.0</v>
      </c>
      <c r="H13" s="107">
        <f t="shared" si="13"/>
        <v>552000</v>
      </c>
      <c r="I13" s="107">
        <f t="shared" si="14"/>
        <v>529920</v>
      </c>
      <c r="J13" s="48">
        <f t="shared" si="15"/>
        <v>105984</v>
      </c>
      <c r="K13" s="109"/>
      <c r="L13" s="110"/>
      <c r="M13" s="111"/>
      <c r="N13" s="63"/>
      <c r="O13" s="64"/>
      <c r="P13" s="65"/>
      <c r="Q13" s="50">
        <f t="shared" si="8"/>
        <v>173024</v>
      </c>
      <c r="R13" s="112"/>
      <c r="S13" s="67">
        <f>SUM(Q12:Q13)</f>
        <v>275884</v>
      </c>
      <c r="T13" s="102">
        <f t="shared" si="16"/>
        <v>173024</v>
      </c>
    </row>
    <row r="14" ht="16.5" customHeight="1">
      <c r="A14" s="132" t="s">
        <v>40</v>
      </c>
      <c r="B14" s="133">
        <v>23188.0</v>
      </c>
      <c r="C14" s="40" t="s">
        <v>41</v>
      </c>
      <c r="D14" s="134">
        <v>0.35</v>
      </c>
      <c r="E14" s="99">
        <v>748000.0</v>
      </c>
      <c r="F14" s="46">
        <f t="shared" si="7"/>
        <v>261800</v>
      </c>
      <c r="G14" s="44">
        <v>19.0</v>
      </c>
      <c r="H14" s="45">
        <f t="shared" si="13"/>
        <v>228000</v>
      </c>
      <c r="I14" s="45">
        <f t="shared" si="14"/>
        <v>218880</v>
      </c>
      <c r="J14" s="46">
        <f t="shared" si="15"/>
        <v>76608</v>
      </c>
      <c r="K14" s="127"/>
      <c r="L14" s="128"/>
      <c r="M14" s="129"/>
      <c r="N14" s="108">
        <v>5.0</v>
      </c>
      <c r="O14" s="107">
        <f>N14*$O$3</f>
        <v>86500</v>
      </c>
      <c r="P14" s="48">
        <f>O14*$D14</f>
        <v>30275</v>
      </c>
      <c r="Q14" s="50">
        <f t="shared" si="8"/>
        <v>368683</v>
      </c>
      <c r="R14" s="135"/>
      <c r="S14" s="136"/>
      <c r="T14" s="137">
        <f>S15</f>
        <v>368683</v>
      </c>
    </row>
    <row r="15" ht="13.5" customHeight="1">
      <c r="A15" s="103" t="s">
        <v>42</v>
      </c>
      <c r="B15" s="115">
        <v>39206.0</v>
      </c>
      <c r="C15" s="116" t="s">
        <v>43</v>
      </c>
      <c r="D15" s="117">
        <v>0.35</v>
      </c>
      <c r="E15" s="118">
        <v>0.0</v>
      </c>
      <c r="F15" s="119">
        <f t="shared" si="7"/>
        <v>0</v>
      </c>
      <c r="G15" s="123"/>
      <c r="H15" s="123"/>
      <c r="I15" s="121"/>
      <c r="J15" s="122"/>
      <c r="K15" s="123"/>
      <c r="L15" s="121"/>
      <c r="M15" s="122"/>
      <c r="N15" s="138"/>
      <c r="O15" s="139"/>
      <c r="P15" s="140"/>
      <c r="Q15" s="122">
        <f t="shared" si="8"/>
        <v>0</v>
      </c>
      <c r="R15" s="66"/>
      <c r="S15" s="67">
        <f>SUM(Q14+Q15)</f>
        <v>368683</v>
      </c>
      <c r="T15" s="82"/>
      <c r="U15" s="124" t="s">
        <v>44</v>
      </c>
    </row>
    <row r="16" ht="13.5" customHeight="1">
      <c r="A16" s="38" t="s">
        <v>45</v>
      </c>
      <c r="B16" s="39">
        <v>27377.0</v>
      </c>
      <c r="C16" s="40" t="s">
        <v>46</v>
      </c>
      <c r="D16" s="41">
        <v>0.35</v>
      </c>
      <c r="E16" s="99">
        <v>4000.0</v>
      </c>
      <c r="F16" s="46">
        <f t="shared" si="7"/>
        <v>1400</v>
      </c>
      <c r="G16" s="141"/>
      <c r="H16" s="128"/>
      <c r="I16" s="128"/>
      <c r="J16" s="142"/>
      <c r="K16" s="127"/>
      <c r="L16" s="128"/>
      <c r="M16" s="129"/>
      <c r="N16" s="108">
        <v>2.0</v>
      </c>
      <c r="O16" s="107">
        <f t="shared" ref="O16:O17" si="17">N16*$O$3</f>
        <v>34600</v>
      </c>
      <c r="P16" s="48">
        <f t="shared" ref="P16:P17" si="18">O16*$D16</f>
        <v>12110</v>
      </c>
      <c r="Q16" s="50">
        <f t="shared" si="8"/>
        <v>13510</v>
      </c>
      <c r="R16" s="100"/>
      <c r="S16" s="143"/>
      <c r="T16" s="53">
        <f t="shared" ref="T16:T21" si="19">Q16</f>
        <v>13510</v>
      </c>
    </row>
    <row r="17" ht="13.5" customHeight="1">
      <c r="A17" s="54" t="s">
        <v>47</v>
      </c>
      <c r="B17" s="55">
        <v>26059.0</v>
      </c>
      <c r="C17" s="56" t="s">
        <v>48</v>
      </c>
      <c r="D17" s="57">
        <v>0.35</v>
      </c>
      <c r="E17" s="300">
        <v>28000.0</v>
      </c>
      <c r="F17" s="59">
        <f t="shared" si="7"/>
        <v>9800</v>
      </c>
      <c r="G17" s="60">
        <v>7.0</v>
      </c>
      <c r="H17" s="107">
        <f>G17*$H$3</f>
        <v>84000</v>
      </c>
      <c r="I17" s="61">
        <f>H17*$I$3</f>
        <v>80640</v>
      </c>
      <c r="J17" s="62">
        <f>I17*D17</f>
        <v>28224</v>
      </c>
      <c r="K17" s="63"/>
      <c r="L17" s="64"/>
      <c r="M17" s="65"/>
      <c r="N17" s="108">
        <v>7.0</v>
      </c>
      <c r="O17" s="107">
        <f t="shared" si="17"/>
        <v>121100</v>
      </c>
      <c r="P17" s="48">
        <f t="shared" si="18"/>
        <v>42385</v>
      </c>
      <c r="Q17" s="50">
        <f t="shared" si="8"/>
        <v>80409</v>
      </c>
      <c r="R17" s="66"/>
      <c r="S17" s="67">
        <f>SUM(Q16+Q17)</f>
        <v>93919</v>
      </c>
      <c r="T17" s="68">
        <f t="shared" si="19"/>
        <v>80409</v>
      </c>
    </row>
    <row r="18" ht="18.0" customHeight="1">
      <c r="A18" s="84" t="s">
        <v>49</v>
      </c>
      <c r="B18" s="144">
        <v>40498.0</v>
      </c>
      <c r="C18" s="145" t="s">
        <v>50</v>
      </c>
      <c r="D18" s="146">
        <v>0.35</v>
      </c>
      <c r="E18" s="147"/>
      <c r="F18" s="89">
        <f t="shared" si="7"/>
        <v>0</v>
      </c>
      <c r="G18" s="148"/>
      <c r="H18" s="94"/>
      <c r="I18" s="94"/>
      <c r="J18" s="149"/>
      <c r="K18" s="63"/>
      <c r="L18" s="64"/>
      <c r="M18" s="65"/>
      <c r="N18" s="63"/>
      <c r="O18" s="64"/>
      <c r="P18" s="65"/>
      <c r="Q18" s="50">
        <f t="shared" si="8"/>
        <v>0</v>
      </c>
      <c r="R18" s="150"/>
      <c r="S18" s="151">
        <f>Q18</f>
        <v>0</v>
      </c>
      <c r="T18" s="97">
        <f t="shared" si="19"/>
        <v>0</v>
      </c>
    </row>
    <row r="19" ht="13.5" customHeight="1">
      <c r="A19" s="38" t="s">
        <v>51</v>
      </c>
      <c r="B19" s="39">
        <v>36854.0</v>
      </c>
      <c r="C19" s="40" t="s">
        <v>52</v>
      </c>
      <c r="D19" s="134">
        <v>0.35</v>
      </c>
      <c r="E19" s="147"/>
      <c r="F19" s="43">
        <f t="shared" si="7"/>
        <v>0</v>
      </c>
      <c r="G19" s="141"/>
      <c r="H19" s="128"/>
      <c r="I19" s="128"/>
      <c r="J19" s="142"/>
      <c r="K19" s="127"/>
      <c r="L19" s="128"/>
      <c r="M19" s="129"/>
      <c r="N19" s="127"/>
      <c r="O19" s="128"/>
      <c r="P19" s="129"/>
      <c r="Q19" s="50">
        <f t="shared" si="8"/>
        <v>0</v>
      </c>
      <c r="R19" s="51"/>
      <c r="S19" s="52"/>
      <c r="T19" s="53">
        <f t="shared" si="19"/>
        <v>0</v>
      </c>
    </row>
    <row r="20" ht="13.5" customHeight="1">
      <c r="A20" s="103" t="s">
        <v>53</v>
      </c>
      <c r="B20" s="55">
        <v>17696.0</v>
      </c>
      <c r="C20" s="56" t="s">
        <v>54</v>
      </c>
      <c r="D20" s="117">
        <v>0.35</v>
      </c>
      <c r="E20" s="300">
        <v>16000.0</v>
      </c>
      <c r="F20" s="59">
        <f t="shared" si="7"/>
        <v>5600</v>
      </c>
      <c r="G20" s="152"/>
      <c r="H20" s="64"/>
      <c r="I20" s="64"/>
      <c r="J20" s="153"/>
      <c r="K20" s="63"/>
      <c r="L20" s="64"/>
      <c r="M20" s="65"/>
      <c r="N20" s="108">
        <v>15.0</v>
      </c>
      <c r="O20" s="107">
        <f>N20*$O$3</f>
        <v>259500</v>
      </c>
      <c r="P20" s="48">
        <f>O20*$D20</f>
        <v>90825</v>
      </c>
      <c r="Q20" s="50">
        <f t="shared" si="8"/>
        <v>96425</v>
      </c>
      <c r="R20" s="66"/>
      <c r="S20" s="67">
        <f>SUM(Q19+Q20)</f>
        <v>96425</v>
      </c>
      <c r="T20" s="68">
        <f t="shared" si="19"/>
        <v>96425</v>
      </c>
    </row>
    <row r="21" ht="13.5" customHeight="1">
      <c r="A21" s="38" t="s">
        <v>55</v>
      </c>
      <c r="B21" s="39">
        <v>17704.0</v>
      </c>
      <c r="C21" s="40" t="s">
        <v>56</v>
      </c>
      <c r="D21" s="134">
        <v>0.35</v>
      </c>
      <c r="E21" s="147"/>
      <c r="F21" s="43">
        <f t="shared" si="7"/>
        <v>0</v>
      </c>
      <c r="G21" s="141"/>
      <c r="H21" s="128"/>
      <c r="I21" s="128"/>
      <c r="J21" s="142"/>
      <c r="K21" s="127"/>
      <c r="L21" s="128"/>
      <c r="M21" s="129"/>
      <c r="N21" s="127"/>
      <c r="O21" s="128"/>
      <c r="P21" s="129"/>
      <c r="Q21" s="50">
        <f t="shared" si="8"/>
        <v>0</v>
      </c>
      <c r="R21" s="51"/>
      <c r="S21" s="52"/>
      <c r="T21" s="53">
        <f t="shared" si="19"/>
        <v>0</v>
      </c>
    </row>
    <row r="22" ht="13.5" customHeight="1">
      <c r="A22" s="103" t="s">
        <v>55</v>
      </c>
      <c r="B22" s="154">
        <v>37080.0</v>
      </c>
      <c r="C22" s="155" t="s">
        <v>57</v>
      </c>
      <c r="D22" s="156">
        <v>0.35</v>
      </c>
      <c r="E22" s="157"/>
      <c r="F22" s="158">
        <f t="shared" si="7"/>
        <v>0</v>
      </c>
      <c r="G22" s="113"/>
      <c r="H22" s="110"/>
      <c r="I22" s="110"/>
      <c r="J22" s="114"/>
      <c r="K22" s="109"/>
      <c r="L22" s="110"/>
      <c r="M22" s="111"/>
      <c r="N22" s="109"/>
      <c r="O22" s="110"/>
      <c r="P22" s="111"/>
      <c r="Q22" s="50">
        <f t="shared" si="8"/>
        <v>0</v>
      </c>
      <c r="R22" s="159">
        <v>0.5</v>
      </c>
      <c r="S22" s="160"/>
      <c r="T22" s="102">
        <f>Q23*R22</f>
        <v>14514.5</v>
      </c>
    </row>
    <row r="23" ht="13.5" customHeight="1">
      <c r="A23" s="103" t="s">
        <v>58</v>
      </c>
      <c r="B23" s="55">
        <v>31450.0</v>
      </c>
      <c r="C23" s="56" t="s">
        <v>59</v>
      </c>
      <c r="D23" s="57">
        <v>0.35</v>
      </c>
      <c r="E23" s="300">
        <v>8000.0</v>
      </c>
      <c r="F23" s="59">
        <f t="shared" si="7"/>
        <v>2800</v>
      </c>
      <c r="G23" s="60">
        <v>2.0</v>
      </c>
      <c r="H23" s="107">
        <f>G23*$H$3</f>
        <v>24000</v>
      </c>
      <c r="I23" s="61">
        <f>H23*$I$3</f>
        <v>23040</v>
      </c>
      <c r="J23" s="62">
        <f>I23*D23</f>
        <v>8064</v>
      </c>
      <c r="K23" s="63"/>
      <c r="L23" s="64"/>
      <c r="M23" s="65"/>
      <c r="N23" s="108">
        <v>3.0</v>
      </c>
      <c r="O23" s="107">
        <f>N23*$O$3</f>
        <v>51900</v>
      </c>
      <c r="P23" s="48">
        <f>O23*$D23</f>
        <v>18165</v>
      </c>
      <c r="Q23" s="50">
        <f t="shared" si="8"/>
        <v>29029</v>
      </c>
      <c r="R23" s="66">
        <v>0.5</v>
      </c>
      <c r="S23" s="67">
        <f>SUM(Q21:Q23)</f>
        <v>29029</v>
      </c>
      <c r="T23" s="68">
        <f>Q23*R23</f>
        <v>14514.5</v>
      </c>
    </row>
    <row r="24" ht="15.75" customHeight="1">
      <c r="A24" s="38" t="s">
        <v>60</v>
      </c>
      <c r="B24" s="39">
        <v>32233.0</v>
      </c>
      <c r="C24" s="40" t="s">
        <v>61</v>
      </c>
      <c r="D24" s="134">
        <v>0.35</v>
      </c>
      <c r="E24" s="147"/>
      <c r="F24" s="46">
        <f t="shared" si="7"/>
        <v>0</v>
      </c>
      <c r="G24" s="141"/>
      <c r="H24" s="128"/>
      <c r="I24" s="128"/>
      <c r="J24" s="142"/>
      <c r="K24" s="127"/>
      <c r="L24" s="128"/>
      <c r="M24" s="129"/>
      <c r="N24" s="127"/>
      <c r="O24" s="128"/>
      <c r="P24" s="129"/>
      <c r="Q24" s="50">
        <f t="shared" si="8"/>
        <v>0</v>
      </c>
      <c r="R24" s="161"/>
      <c r="S24" s="130"/>
      <c r="T24" s="137">
        <f t="shared" ref="T24:T25" si="20">Q24</f>
        <v>0</v>
      </c>
    </row>
    <row r="25" ht="15.75" customHeight="1">
      <c r="A25" s="103" t="s">
        <v>62</v>
      </c>
      <c r="B25" s="55">
        <v>27950.0</v>
      </c>
      <c r="C25" s="56" t="s">
        <v>63</v>
      </c>
      <c r="D25" s="117">
        <v>0.35</v>
      </c>
      <c r="E25" s="162"/>
      <c r="F25" s="62">
        <f t="shared" si="7"/>
        <v>0</v>
      </c>
      <c r="G25" s="152"/>
      <c r="H25" s="64"/>
      <c r="I25" s="64"/>
      <c r="J25" s="153"/>
      <c r="K25" s="63"/>
      <c r="L25" s="64"/>
      <c r="M25" s="65"/>
      <c r="N25" s="63"/>
      <c r="O25" s="64"/>
      <c r="P25" s="65"/>
      <c r="Q25" s="50">
        <f t="shared" si="8"/>
        <v>0</v>
      </c>
      <c r="R25" s="163"/>
      <c r="S25" s="67">
        <f>SUM(Q24+Q25)</f>
        <v>0</v>
      </c>
      <c r="T25" s="137">
        <f t="shared" si="20"/>
        <v>0</v>
      </c>
    </row>
    <row r="26" ht="13.5" customHeight="1">
      <c r="A26" s="38" t="s">
        <v>64</v>
      </c>
      <c r="B26" s="164" t="s">
        <v>65</v>
      </c>
      <c r="C26" s="165" t="s">
        <v>66</v>
      </c>
      <c r="D26" s="166">
        <v>0.3</v>
      </c>
      <c r="E26" s="167">
        <f>55800+125400</f>
        <v>181200</v>
      </c>
      <c r="F26" s="168">
        <f t="shared" si="7"/>
        <v>54360</v>
      </c>
      <c r="G26" s="141"/>
      <c r="H26" s="128"/>
      <c r="I26" s="128"/>
      <c r="J26" s="142"/>
      <c r="K26" s="127"/>
      <c r="L26" s="128"/>
      <c r="M26" s="129"/>
      <c r="N26" s="127"/>
      <c r="O26" s="128"/>
      <c r="P26" s="129"/>
      <c r="Q26" s="169"/>
      <c r="R26" s="169"/>
      <c r="S26" s="169"/>
      <c r="T26" s="170"/>
    </row>
    <row r="27" ht="13.5" customHeight="1">
      <c r="A27" s="103" t="s">
        <v>64</v>
      </c>
      <c r="B27" s="115" t="s">
        <v>65</v>
      </c>
      <c r="C27" s="116" t="s">
        <v>67</v>
      </c>
      <c r="D27" s="166">
        <v>0.3</v>
      </c>
      <c r="E27" s="171">
        <f>34745.82+142200</f>
        <v>176945.82</v>
      </c>
      <c r="F27" s="172">
        <f t="shared" si="7"/>
        <v>53083.746</v>
      </c>
      <c r="G27" s="113"/>
      <c r="H27" s="110"/>
      <c r="I27" s="110"/>
      <c r="J27" s="114"/>
      <c r="K27" s="109"/>
      <c r="L27" s="110"/>
      <c r="M27" s="111"/>
      <c r="N27" s="109"/>
      <c r="O27" s="110"/>
      <c r="P27" s="111"/>
      <c r="Q27" s="173"/>
      <c r="R27" s="173"/>
      <c r="S27" s="173"/>
      <c r="T27" s="174"/>
    </row>
    <row r="28" ht="13.5" customHeight="1">
      <c r="A28" s="103" t="s">
        <v>64</v>
      </c>
      <c r="B28" s="115" t="s">
        <v>65</v>
      </c>
      <c r="C28" s="116" t="s">
        <v>68</v>
      </c>
      <c r="D28" s="166">
        <v>0.3</v>
      </c>
      <c r="E28" s="171">
        <f>66500+14400</f>
        <v>80900</v>
      </c>
      <c r="F28" s="172">
        <f t="shared" si="7"/>
        <v>24270</v>
      </c>
      <c r="G28" s="113"/>
      <c r="H28" s="110"/>
      <c r="I28" s="110"/>
      <c r="J28" s="114"/>
      <c r="K28" s="109"/>
      <c r="L28" s="110"/>
      <c r="M28" s="111"/>
      <c r="N28" s="109"/>
      <c r="O28" s="110"/>
      <c r="P28" s="111"/>
      <c r="Q28" s="173"/>
      <c r="R28" s="173"/>
      <c r="S28" s="173"/>
      <c r="T28" s="174"/>
    </row>
    <row r="29" ht="13.5" customHeight="1">
      <c r="A29" s="103" t="s">
        <v>64</v>
      </c>
      <c r="B29" s="115" t="s">
        <v>65</v>
      </c>
      <c r="C29" s="116" t="s">
        <v>69</v>
      </c>
      <c r="D29" s="166">
        <v>0.3</v>
      </c>
      <c r="E29" s="118">
        <v>390760.09</v>
      </c>
      <c r="F29" s="172">
        <f t="shared" si="7"/>
        <v>117228.027</v>
      </c>
      <c r="G29" s="113"/>
      <c r="H29" s="110"/>
      <c r="I29" s="110"/>
      <c r="J29" s="114"/>
      <c r="K29" s="109"/>
      <c r="L29" s="110"/>
      <c r="M29" s="111"/>
      <c r="N29" s="109"/>
      <c r="O29" s="110"/>
      <c r="P29" s="111"/>
      <c r="Q29" s="173"/>
      <c r="R29" s="173"/>
      <c r="S29" s="173"/>
      <c r="T29" s="174"/>
    </row>
    <row r="30" ht="13.5" customHeight="1">
      <c r="A30" s="103" t="s">
        <v>64</v>
      </c>
      <c r="B30" s="115">
        <v>34227.0</v>
      </c>
      <c r="C30" s="116" t="s">
        <v>70</v>
      </c>
      <c r="D30" s="166">
        <v>0.3</v>
      </c>
      <c r="E30" s="118">
        <v>60000.0</v>
      </c>
      <c r="F30" s="172">
        <f t="shared" si="7"/>
        <v>18000</v>
      </c>
      <c r="G30" s="113"/>
      <c r="H30" s="110"/>
      <c r="I30" s="110"/>
      <c r="J30" s="114"/>
      <c r="K30" s="109"/>
      <c r="L30" s="110"/>
      <c r="M30" s="111"/>
      <c r="N30" s="109"/>
      <c r="O30" s="110"/>
      <c r="P30" s="111"/>
      <c r="Q30" s="173"/>
      <c r="R30" s="173"/>
      <c r="S30" s="173"/>
      <c r="T30" s="174"/>
    </row>
    <row r="31" ht="13.5" customHeight="1">
      <c r="A31" s="103" t="s">
        <v>64</v>
      </c>
      <c r="B31" s="175">
        <v>15609.0</v>
      </c>
      <c r="C31" s="176" t="s">
        <v>71</v>
      </c>
      <c r="D31" s="166">
        <v>0.3</v>
      </c>
      <c r="E31" s="302">
        <v>2418453.02</v>
      </c>
      <c r="F31" s="178">
        <f>(E31*D31)+F26+F27+F28+F29+F30</f>
        <v>992477.679</v>
      </c>
      <c r="G31" s="106">
        <v>127.0</v>
      </c>
      <c r="H31" s="107">
        <f>G31*$H$3</f>
        <v>1524000</v>
      </c>
      <c r="I31" s="107">
        <f>H31*$I$3</f>
        <v>1463040</v>
      </c>
      <c r="J31" s="48">
        <f>I31*D31</f>
        <v>438912</v>
      </c>
      <c r="K31" s="109"/>
      <c r="L31" s="110"/>
      <c r="M31" s="111"/>
      <c r="N31" s="108">
        <v>58.0</v>
      </c>
      <c r="O31" s="107">
        <f>N31*$O$3</f>
        <v>1003400</v>
      </c>
      <c r="P31" s="48">
        <f>O31*$D31</f>
        <v>301020</v>
      </c>
      <c r="Q31" s="179">
        <f t="shared" ref="Q31:Q56" si="21">F31+J31+M31+P31</f>
        <v>1732409.679</v>
      </c>
      <c r="R31" s="112"/>
      <c r="S31" s="180"/>
      <c r="T31" s="102">
        <f t="shared" ref="T31:T55" si="22">Q31</f>
        <v>1732409.679</v>
      </c>
      <c r="U31" s="124" t="s">
        <v>72</v>
      </c>
    </row>
    <row r="32" ht="13.5" customHeight="1">
      <c r="A32" s="103" t="s">
        <v>64</v>
      </c>
      <c r="B32" s="175">
        <v>33728.0</v>
      </c>
      <c r="C32" s="176" t="s">
        <v>73</v>
      </c>
      <c r="D32" s="166">
        <v>0.35</v>
      </c>
      <c r="E32" s="300">
        <v>828000.0</v>
      </c>
      <c r="F32" s="48">
        <f t="shared" ref="F32:F55" si="23">E32*D32</f>
        <v>289800</v>
      </c>
      <c r="G32" s="113"/>
      <c r="H32" s="110"/>
      <c r="I32" s="110"/>
      <c r="J32" s="114"/>
      <c r="K32" s="109"/>
      <c r="L32" s="110"/>
      <c r="M32" s="111"/>
      <c r="N32" s="109"/>
      <c r="O32" s="110"/>
      <c r="P32" s="111"/>
      <c r="Q32" s="50">
        <f t="shared" si="21"/>
        <v>289800</v>
      </c>
      <c r="R32" s="112"/>
      <c r="S32" s="180"/>
      <c r="T32" s="102">
        <f t="shared" si="22"/>
        <v>289800</v>
      </c>
    </row>
    <row r="33" ht="13.5" customHeight="1">
      <c r="A33" s="103" t="s">
        <v>64</v>
      </c>
      <c r="B33" s="104">
        <v>34774.0</v>
      </c>
      <c r="C33" s="105" t="s">
        <v>74</v>
      </c>
      <c r="D33" s="166">
        <v>0.35</v>
      </c>
      <c r="E33" s="300">
        <v>481100.0</v>
      </c>
      <c r="F33" s="48">
        <f t="shared" si="23"/>
        <v>168385</v>
      </c>
      <c r="G33" s="113"/>
      <c r="H33" s="110"/>
      <c r="I33" s="110"/>
      <c r="J33" s="114"/>
      <c r="K33" s="109"/>
      <c r="L33" s="110"/>
      <c r="M33" s="111"/>
      <c r="N33" s="109"/>
      <c r="O33" s="110"/>
      <c r="P33" s="111"/>
      <c r="Q33" s="50">
        <f t="shared" si="21"/>
        <v>168385</v>
      </c>
      <c r="R33" s="159"/>
      <c r="S33" s="180"/>
      <c r="T33" s="102">
        <f t="shared" si="22"/>
        <v>168385</v>
      </c>
    </row>
    <row r="34" ht="13.5" customHeight="1">
      <c r="A34" s="103" t="s">
        <v>64</v>
      </c>
      <c r="B34" s="182">
        <v>40353.0</v>
      </c>
      <c r="C34" s="183" t="s">
        <v>76</v>
      </c>
      <c r="D34" s="166">
        <v>0.35</v>
      </c>
      <c r="E34" s="184">
        <v>105000.0</v>
      </c>
      <c r="F34" s="48">
        <f t="shared" si="23"/>
        <v>36750</v>
      </c>
      <c r="G34" s="185"/>
      <c r="H34" s="186"/>
      <c r="I34" s="186"/>
      <c r="J34" s="187"/>
      <c r="K34" s="188"/>
      <c r="L34" s="186"/>
      <c r="M34" s="189"/>
      <c r="N34" s="188"/>
      <c r="O34" s="186"/>
      <c r="P34" s="189"/>
      <c r="Q34" s="50">
        <f t="shared" si="21"/>
        <v>36750</v>
      </c>
      <c r="R34" s="190"/>
      <c r="S34" s="67">
        <f>SUM(Q26:Q34)</f>
        <v>2227344.679</v>
      </c>
      <c r="T34" s="68">
        <f t="shared" si="22"/>
        <v>36750</v>
      </c>
      <c r="U34" s="181" t="s">
        <v>75</v>
      </c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 ht="13.5" customHeight="1">
      <c r="A35" s="38" t="s">
        <v>77</v>
      </c>
      <c r="B35" s="39">
        <v>12196.0</v>
      </c>
      <c r="C35" s="40" t="s">
        <v>78</v>
      </c>
      <c r="D35" s="41">
        <v>0.3</v>
      </c>
      <c r="E35" s="88">
        <v>632000.0</v>
      </c>
      <c r="F35" s="46">
        <f t="shared" si="23"/>
        <v>189600</v>
      </c>
      <c r="G35" s="44">
        <v>49.0</v>
      </c>
      <c r="H35" s="107">
        <f>G35*11000</f>
        <v>539000</v>
      </c>
      <c r="I35" s="45">
        <f>H35*$I$3</f>
        <v>517440</v>
      </c>
      <c r="J35" s="46">
        <f>I35*D35</f>
        <v>155232</v>
      </c>
      <c r="K35" s="127"/>
      <c r="L35" s="128"/>
      <c r="M35" s="129"/>
      <c r="N35" s="127"/>
      <c r="O35" s="128"/>
      <c r="P35" s="129"/>
      <c r="Q35" s="50">
        <f t="shared" si="21"/>
        <v>344832</v>
      </c>
      <c r="R35" s="100"/>
      <c r="S35" s="52"/>
      <c r="T35" s="53">
        <f t="shared" si="22"/>
        <v>344832</v>
      </c>
    </row>
    <row r="36" ht="13.5" customHeight="1">
      <c r="A36" s="54" t="s">
        <v>79</v>
      </c>
      <c r="B36" s="55">
        <v>39745.0</v>
      </c>
      <c r="C36" s="56" t="s">
        <v>80</v>
      </c>
      <c r="D36" s="57">
        <v>0.35</v>
      </c>
      <c r="E36" s="184">
        <v>260000.0</v>
      </c>
      <c r="F36" s="59">
        <f t="shared" si="23"/>
        <v>91000</v>
      </c>
      <c r="G36" s="152"/>
      <c r="H36" s="64"/>
      <c r="I36" s="64"/>
      <c r="J36" s="153"/>
      <c r="K36" s="63"/>
      <c r="L36" s="64"/>
      <c r="M36" s="65"/>
      <c r="N36" s="63"/>
      <c r="O36" s="64"/>
      <c r="P36" s="65"/>
      <c r="Q36" s="50">
        <f t="shared" si="21"/>
        <v>91000</v>
      </c>
      <c r="R36" s="66"/>
      <c r="S36" s="151">
        <f>SUM(Q35:Q36)</f>
        <v>435832</v>
      </c>
      <c r="T36" s="68">
        <f t="shared" si="22"/>
        <v>91000</v>
      </c>
    </row>
    <row r="37" ht="13.5" customHeight="1">
      <c r="A37" s="38" t="s">
        <v>81</v>
      </c>
      <c r="B37" s="39">
        <v>24862.0</v>
      </c>
      <c r="C37" s="40" t="s">
        <v>82</v>
      </c>
      <c r="D37" s="41">
        <v>0.35</v>
      </c>
      <c r="E37" s="88">
        <v>420800.0</v>
      </c>
      <c r="F37" s="46">
        <f t="shared" si="23"/>
        <v>147280</v>
      </c>
      <c r="G37" s="106">
        <v>55.0</v>
      </c>
      <c r="H37" s="107">
        <f t="shared" ref="H37:H38" si="24">G37*$H$3</f>
        <v>660000</v>
      </c>
      <c r="I37" s="107">
        <f t="shared" ref="I37:I38" si="25">H37*$I$3</f>
        <v>633600</v>
      </c>
      <c r="J37" s="48">
        <f t="shared" ref="J37:J38" si="26">I37*D37</f>
        <v>221760</v>
      </c>
      <c r="K37" s="109"/>
      <c r="L37" s="110"/>
      <c r="M37" s="129"/>
      <c r="N37" s="109"/>
      <c r="O37" s="110"/>
      <c r="P37" s="129"/>
      <c r="Q37" s="50">
        <f t="shared" si="21"/>
        <v>369040</v>
      </c>
      <c r="R37" s="100"/>
      <c r="S37" s="143"/>
      <c r="T37" s="53">
        <f t="shared" si="22"/>
        <v>369040</v>
      </c>
    </row>
    <row r="38" ht="13.5" customHeight="1">
      <c r="A38" s="54" t="s">
        <v>83</v>
      </c>
      <c r="B38" s="55">
        <v>35424.0</v>
      </c>
      <c r="C38" s="56" t="s">
        <v>84</v>
      </c>
      <c r="D38" s="57">
        <v>0.35</v>
      </c>
      <c r="E38" s="184">
        <v>423500.0</v>
      </c>
      <c r="F38" s="59">
        <f t="shared" si="23"/>
        <v>148225</v>
      </c>
      <c r="G38" s="60">
        <v>27.0</v>
      </c>
      <c r="H38" s="107">
        <f t="shared" si="24"/>
        <v>324000</v>
      </c>
      <c r="I38" s="61">
        <f t="shared" si="25"/>
        <v>311040</v>
      </c>
      <c r="J38" s="62">
        <f t="shared" si="26"/>
        <v>108864</v>
      </c>
      <c r="K38" s="63"/>
      <c r="L38" s="64"/>
      <c r="M38" s="65"/>
      <c r="N38" s="63"/>
      <c r="O38" s="64"/>
      <c r="P38" s="65"/>
      <c r="Q38" s="50">
        <f t="shared" si="21"/>
        <v>257089</v>
      </c>
      <c r="R38" s="66"/>
      <c r="S38" s="192">
        <f>Q39</f>
        <v>24850</v>
      </c>
      <c r="T38" s="68">
        <f t="shared" si="22"/>
        <v>257089</v>
      </c>
    </row>
    <row r="39" ht="13.5" customHeight="1">
      <c r="A39" s="193" t="s">
        <v>85</v>
      </c>
      <c r="B39" s="144">
        <v>7409.0</v>
      </c>
      <c r="C39" s="145" t="s">
        <v>86</v>
      </c>
      <c r="D39" s="194">
        <v>0.35</v>
      </c>
      <c r="E39" s="58">
        <v>71000.0</v>
      </c>
      <c r="F39" s="195">
        <f t="shared" si="23"/>
        <v>24850</v>
      </c>
      <c r="G39" s="148"/>
      <c r="H39" s="94"/>
      <c r="I39" s="94"/>
      <c r="J39" s="149"/>
      <c r="K39" s="93"/>
      <c r="L39" s="94"/>
      <c r="M39" s="196"/>
      <c r="N39" s="93"/>
      <c r="O39" s="94"/>
      <c r="P39" s="196"/>
      <c r="Q39" s="50">
        <f t="shared" si="21"/>
        <v>24850</v>
      </c>
      <c r="R39" s="96"/>
      <c r="S39" s="67">
        <f>Q39</f>
        <v>24850</v>
      </c>
      <c r="T39" s="68">
        <f t="shared" si="22"/>
        <v>24850</v>
      </c>
    </row>
    <row r="40" ht="13.5" customHeight="1">
      <c r="A40" s="38" t="s">
        <v>87</v>
      </c>
      <c r="B40" s="197">
        <v>19935.0</v>
      </c>
      <c r="C40" s="198" t="s">
        <v>88</v>
      </c>
      <c r="D40" s="41">
        <v>0.35</v>
      </c>
      <c r="E40" s="199"/>
      <c r="F40" s="46">
        <f t="shared" si="23"/>
        <v>0</v>
      </c>
      <c r="G40" s="44">
        <v>45.0</v>
      </c>
      <c r="H40" s="45">
        <f>G40*$H$3</f>
        <v>540000</v>
      </c>
      <c r="I40" s="45">
        <f>H40*$I$3</f>
        <v>518400</v>
      </c>
      <c r="J40" s="46">
        <f>I40*D40</f>
        <v>181440</v>
      </c>
      <c r="K40" s="47">
        <v>1.0</v>
      </c>
      <c r="L40" s="107">
        <f>K40*$L$3</f>
        <v>14606</v>
      </c>
      <c r="M40" s="48">
        <f>L40*D40</f>
        <v>5112.1</v>
      </c>
      <c r="N40" s="47">
        <v>0.0</v>
      </c>
      <c r="O40" s="107">
        <f t="shared" ref="O40:O41" si="27">N40*$O$3</f>
        <v>0</v>
      </c>
      <c r="P40" s="48">
        <f t="shared" ref="P40:P41" si="28">O40*$D40</f>
        <v>0</v>
      </c>
      <c r="Q40" s="50">
        <f t="shared" si="21"/>
        <v>186552.1</v>
      </c>
      <c r="R40" s="200"/>
      <c r="S40" s="52"/>
      <c r="T40" s="137">
        <f t="shared" si="22"/>
        <v>186552.1</v>
      </c>
    </row>
    <row r="41" ht="13.5" customHeight="1">
      <c r="A41" s="103" t="s">
        <v>87</v>
      </c>
      <c r="B41" s="175">
        <v>2130.0</v>
      </c>
      <c r="C41" s="176" t="s">
        <v>89</v>
      </c>
      <c r="D41" s="166">
        <v>0.35</v>
      </c>
      <c r="E41" s="201"/>
      <c r="F41" s="48">
        <f t="shared" si="23"/>
        <v>0</v>
      </c>
      <c r="G41" s="113"/>
      <c r="H41" s="110"/>
      <c r="I41" s="110"/>
      <c r="J41" s="114"/>
      <c r="K41" s="109"/>
      <c r="L41" s="110"/>
      <c r="M41" s="111"/>
      <c r="N41" s="108">
        <v>0.0</v>
      </c>
      <c r="O41" s="107">
        <f t="shared" si="27"/>
        <v>0</v>
      </c>
      <c r="P41" s="48">
        <f t="shared" si="28"/>
        <v>0</v>
      </c>
      <c r="Q41" s="50">
        <f t="shared" si="21"/>
        <v>0</v>
      </c>
      <c r="R41" s="202"/>
      <c r="S41" s="203"/>
      <c r="T41" s="204">
        <f t="shared" si="22"/>
        <v>0</v>
      </c>
    </row>
    <row r="42" ht="13.5" customHeight="1">
      <c r="A42" s="103" t="s">
        <v>87</v>
      </c>
      <c r="B42" s="175">
        <v>5197.0</v>
      </c>
      <c r="C42" s="176" t="s">
        <v>90</v>
      </c>
      <c r="D42" s="166">
        <v>0.35</v>
      </c>
      <c r="E42" s="201">
        <v>7700.0</v>
      </c>
      <c r="F42" s="48">
        <f t="shared" si="23"/>
        <v>2695</v>
      </c>
      <c r="G42" s="113"/>
      <c r="H42" s="110"/>
      <c r="I42" s="110"/>
      <c r="J42" s="114"/>
      <c r="K42" s="109"/>
      <c r="L42" s="110"/>
      <c r="M42" s="111"/>
      <c r="N42" s="205"/>
      <c r="O42" s="206"/>
      <c r="P42" s="207"/>
      <c r="Q42" s="50">
        <f t="shared" si="21"/>
        <v>2695</v>
      </c>
      <c r="R42" s="202"/>
      <c r="S42" s="203"/>
      <c r="T42" s="204">
        <f t="shared" si="22"/>
        <v>2695</v>
      </c>
    </row>
    <row r="43" ht="13.5" customHeight="1">
      <c r="A43" s="103" t="s">
        <v>87</v>
      </c>
      <c r="B43" s="104">
        <v>25881.0</v>
      </c>
      <c r="C43" s="105" t="s">
        <v>91</v>
      </c>
      <c r="D43" s="166">
        <v>0.35</v>
      </c>
      <c r="E43" s="88">
        <v>21600.0</v>
      </c>
      <c r="F43" s="48">
        <f t="shared" si="23"/>
        <v>7560</v>
      </c>
      <c r="G43" s="113"/>
      <c r="H43" s="110"/>
      <c r="I43" s="110"/>
      <c r="J43" s="114"/>
      <c r="K43" s="109"/>
      <c r="L43" s="110"/>
      <c r="M43" s="111"/>
      <c r="N43" s="109"/>
      <c r="O43" s="110"/>
      <c r="P43" s="208"/>
      <c r="Q43" s="50">
        <f t="shared" si="21"/>
        <v>7560</v>
      </c>
      <c r="R43" s="202"/>
      <c r="S43" s="203"/>
      <c r="T43" s="204">
        <f t="shared" si="22"/>
        <v>7560</v>
      </c>
    </row>
    <row r="44" ht="13.5" customHeight="1">
      <c r="A44" s="54" t="s">
        <v>92</v>
      </c>
      <c r="B44" s="55">
        <v>7829.0</v>
      </c>
      <c r="C44" s="56" t="s">
        <v>93</v>
      </c>
      <c r="D44" s="57">
        <v>0.35</v>
      </c>
      <c r="E44" s="184">
        <v>28000.0</v>
      </c>
      <c r="F44" s="62">
        <f t="shared" si="23"/>
        <v>9800</v>
      </c>
      <c r="G44" s="60">
        <v>7.0</v>
      </c>
      <c r="H44" s="61">
        <f t="shared" ref="H44:H46" si="29">G44*$H$3</f>
        <v>84000</v>
      </c>
      <c r="I44" s="61">
        <f t="shared" ref="I44:I46" si="30">H44*$I$3</f>
        <v>80640</v>
      </c>
      <c r="J44" s="62">
        <f t="shared" ref="J44:J46" si="31">I44*D44</f>
        <v>28224</v>
      </c>
      <c r="K44" s="63"/>
      <c r="L44" s="64"/>
      <c r="M44" s="111"/>
      <c r="N44" s="63"/>
      <c r="O44" s="64"/>
      <c r="P44" s="209"/>
      <c r="Q44" s="50">
        <f t="shared" si="21"/>
        <v>38024</v>
      </c>
      <c r="R44" s="210"/>
      <c r="S44" s="151">
        <f>SUM(Q40:Q44)</f>
        <v>234831.1</v>
      </c>
      <c r="T44" s="204">
        <f t="shared" si="22"/>
        <v>38024</v>
      </c>
    </row>
    <row r="45" ht="13.5" customHeight="1">
      <c r="A45" s="103" t="s">
        <v>94</v>
      </c>
      <c r="B45" s="39">
        <v>20865.0</v>
      </c>
      <c r="C45" s="40" t="s">
        <v>95</v>
      </c>
      <c r="D45" s="41">
        <v>0.35</v>
      </c>
      <c r="E45" s="88">
        <f>54000+132000</f>
        <v>186000</v>
      </c>
      <c r="F45" s="46">
        <f t="shared" si="23"/>
        <v>65100</v>
      </c>
      <c r="G45" s="44">
        <v>11.0</v>
      </c>
      <c r="H45" s="107">
        <f t="shared" si="29"/>
        <v>132000</v>
      </c>
      <c r="I45" s="45">
        <f t="shared" si="30"/>
        <v>126720</v>
      </c>
      <c r="J45" s="46">
        <f t="shared" si="31"/>
        <v>44352</v>
      </c>
      <c r="K45" s="127"/>
      <c r="L45" s="128"/>
      <c r="M45" s="129"/>
      <c r="N45" s="127"/>
      <c r="O45" s="128"/>
      <c r="P45" s="129"/>
      <c r="Q45" s="50">
        <f t="shared" si="21"/>
        <v>109452</v>
      </c>
      <c r="R45" s="100"/>
      <c r="S45" s="143"/>
      <c r="T45" s="53">
        <f t="shared" si="22"/>
        <v>109452</v>
      </c>
    </row>
    <row r="46" ht="13.5" customHeight="1">
      <c r="A46" s="103" t="s">
        <v>94</v>
      </c>
      <c r="B46" s="104">
        <v>28983.0</v>
      </c>
      <c r="C46" s="105" t="s">
        <v>96</v>
      </c>
      <c r="D46" s="166">
        <v>0.35</v>
      </c>
      <c r="E46" s="58">
        <f>63000+372000</f>
        <v>435000</v>
      </c>
      <c r="F46" s="48">
        <f t="shared" si="23"/>
        <v>152250</v>
      </c>
      <c r="G46" s="106">
        <v>8.0</v>
      </c>
      <c r="H46" s="107">
        <f t="shared" si="29"/>
        <v>96000</v>
      </c>
      <c r="I46" s="107">
        <f t="shared" si="30"/>
        <v>92160</v>
      </c>
      <c r="J46" s="48">
        <f t="shared" si="31"/>
        <v>32256</v>
      </c>
      <c r="K46" s="109"/>
      <c r="L46" s="110"/>
      <c r="M46" s="111"/>
      <c r="N46" s="109"/>
      <c r="O46" s="110"/>
      <c r="P46" s="111"/>
      <c r="Q46" s="50">
        <f t="shared" si="21"/>
        <v>184506</v>
      </c>
      <c r="R46" s="112"/>
      <c r="S46" s="160"/>
      <c r="T46" s="102">
        <f t="shared" si="22"/>
        <v>184506</v>
      </c>
    </row>
    <row r="47" ht="13.5" customHeight="1">
      <c r="A47" s="54" t="s">
        <v>97</v>
      </c>
      <c r="B47" s="55">
        <v>23627.0</v>
      </c>
      <c r="C47" s="56" t="s">
        <v>98</v>
      </c>
      <c r="D47" s="57">
        <v>0.35</v>
      </c>
      <c r="E47" s="184">
        <v>400000.0</v>
      </c>
      <c r="F47" s="59">
        <f t="shared" si="23"/>
        <v>140000</v>
      </c>
      <c r="G47" s="152"/>
      <c r="H47" s="64"/>
      <c r="I47" s="64"/>
      <c r="J47" s="153"/>
      <c r="K47" s="63"/>
      <c r="L47" s="64"/>
      <c r="M47" s="65"/>
      <c r="N47" s="63"/>
      <c r="O47" s="64"/>
      <c r="P47" s="65"/>
      <c r="Q47" s="50">
        <f t="shared" si="21"/>
        <v>140000</v>
      </c>
      <c r="R47" s="66"/>
      <c r="S47" s="151">
        <f>SUM(Q45:Q47)</f>
        <v>433958</v>
      </c>
      <c r="T47" s="68">
        <f t="shared" si="22"/>
        <v>140000</v>
      </c>
    </row>
    <row r="48" ht="13.5" customHeight="1">
      <c r="A48" s="103" t="s">
        <v>99</v>
      </c>
      <c r="B48" s="39">
        <v>16905.0</v>
      </c>
      <c r="C48" s="40" t="s">
        <v>100</v>
      </c>
      <c r="D48" s="41">
        <v>0.3</v>
      </c>
      <c r="E48" s="256">
        <v>0.0</v>
      </c>
      <c r="F48" s="46">
        <f t="shared" si="23"/>
        <v>0</v>
      </c>
      <c r="G48" s="44">
        <v>7.0</v>
      </c>
      <c r="H48" s="107">
        <f t="shared" ref="H48:H50" si="32">G48*$H$3</f>
        <v>84000</v>
      </c>
      <c r="I48" s="45">
        <f t="shared" ref="I48:I50" si="33">H48*$I$3</f>
        <v>80640</v>
      </c>
      <c r="J48" s="46">
        <f t="shared" ref="J48:J50" si="34">I48*D48</f>
        <v>24192</v>
      </c>
      <c r="K48" s="109"/>
      <c r="L48" s="110"/>
      <c r="M48" s="111"/>
      <c r="N48" s="109"/>
      <c r="O48" s="110"/>
      <c r="P48" s="111"/>
      <c r="Q48" s="50">
        <f t="shared" si="21"/>
        <v>24192</v>
      </c>
      <c r="R48" s="100"/>
      <c r="S48" s="130"/>
      <c r="T48" s="53">
        <f t="shared" si="22"/>
        <v>24192</v>
      </c>
      <c r="U48" s="181" t="s">
        <v>75</v>
      </c>
    </row>
    <row r="49" ht="13.5" customHeight="1">
      <c r="A49" s="103" t="s">
        <v>99</v>
      </c>
      <c r="B49" s="104">
        <v>22467.0</v>
      </c>
      <c r="C49" s="105" t="s">
        <v>101</v>
      </c>
      <c r="D49" s="166">
        <v>0.3</v>
      </c>
      <c r="E49" s="303">
        <v>964700.0</v>
      </c>
      <c r="F49" s="48">
        <f t="shared" si="23"/>
        <v>289410</v>
      </c>
      <c r="G49" s="106">
        <v>94.0</v>
      </c>
      <c r="H49" s="107">
        <f t="shared" si="32"/>
        <v>1128000</v>
      </c>
      <c r="I49" s="107">
        <f t="shared" si="33"/>
        <v>1082880</v>
      </c>
      <c r="J49" s="48">
        <f t="shared" si="34"/>
        <v>324864</v>
      </c>
      <c r="K49" s="109"/>
      <c r="L49" s="110"/>
      <c r="M49" s="111"/>
      <c r="N49" s="109"/>
      <c r="O49" s="110"/>
      <c r="P49" s="111"/>
      <c r="Q49" s="50">
        <f t="shared" si="21"/>
        <v>614274</v>
      </c>
      <c r="R49" s="112"/>
      <c r="S49" s="180"/>
      <c r="T49" s="102">
        <f t="shared" si="22"/>
        <v>614274</v>
      </c>
    </row>
    <row r="50" ht="13.5" customHeight="1">
      <c r="A50" s="103" t="s">
        <v>99</v>
      </c>
      <c r="B50" s="104">
        <v>24168.0</v>
      </c>
      <c r="C50" s="105" t="s">
        <v>102</v>
      </c>
      <c r="D50" s="166">
        <v>0.35</v>
      </c>
      <c r="E50" s="88">
        <v>204231.23</v>
      </c>
      <c r="F50" s="48">
        <f t="shared" si="23"/>
        <v>71480.9305</v>
      </c>
      <c r="G50" s="106">
        <v>15.0</v>
      </c>
      <c r="H50" s="107">
        <f t="shared" si="32"/>
        <v>180000</v>
      </c>
      <c r="I50" s="107">
        <f t="shared" si="33"/>
        <v>172800</v>
      </c>
      <c r="J50" s="48">
        <f t="shared" si="34"/>
        <v>60480</v>
      </c>
      <c r="K50" s="109"/>
      <c r="L50" s="110"/>
      <c r="M50" s="111"/>
      <c r="N50" s="109"/>
      <c r="O50" s="110"/>
      <c r="P50" s="111"/>
      <c r="Q50" s="50">
        <f t="shared" si="21"/>
        <v>131960.9305</v>
      </c>
      <c r="R50" s="112"/>
      <c r="S50" s="180"/>
      <c r="T50" s="102">
        <f t="shared" si="22"/>
        <v>131960.9305</v>
      </c>
    </row>
    <row r="51" ht="13.5" customHeight="1">
      <c r="A51" s="103" t="s">
        <v>99</v>
      </c>
      <c r="B51" s="104">
        <v>29857.0</v>
      </c>
      <c r="C51" s="105" t="s">
        <v>103</v>
      </c>
      <c r="D51" s="166">
        <v>0.35</v>
      </c>
      <c r="E51" s="88">
        <v>240000.0</v>
      </c>
      <c r="F51" s="48">
        <f t="shared" si="23"/>
        <v>84000</v>
      </c>
      <c r="G51" s="113"/>
      <c r="H51" s="110"/>
      <c r="I51" s="110"/>
      <c r="J51" s="114"/>
      <c r="K51" s="109"/>
      <c r="L51" s="110"/>
      <c r="M51" s="111"/>
      <c r="N51" s="109"/>
      <c r="O51" s="110"/>
      <c r="P51" s="111"/>
      <c r="Q51" s="50">
        <f t="shared" si="21"/>
        <v>84000</v>
      </c>
      <c r="R51" s="112"/>
      <c r="S51" s="180"/>
      <c r="T51" s="102">
        <f t="shared" si="22"/>
        <v>84000</v>
      </c>
    </row>
    <row r="52" ht="13.5" customHeight="1">
      <c r="A52" s="103" t="s">
        <v>104</v>
      </c>
      <c r="B52" s="55">
        <v>23995.0</v>
      </c>
      <c r="C52" s="56" t="s">
        <v>105</v>
      </c>
      <c r="D52" s="57">
        <v>0.35</v>
      </c>
      <c r="E52" s="88">
        <v>0.0</v>
      </c>
      <c r="F52" s="59">
        <f t="shared" si="23"/>
        <v>0</v>
      </c>
      <c r="G52" s="60">
        <v>0.0</v>
      </c>
      <c r="H52" s="107">
        <f>G52*$H$3</f>
        <v>0</v>
      </c>
      <c r="I52" s="61">
        <f>H52*$I$3</f>
        <v>0</v>
      </c>
      <c r="J52" s="62">
        <f>I52*D52</f>
        <v>0</v>
      </c>
      <c r="K52" s="63"/>
      <c r="L52" s="64"/>
      <c r="M52" s="65"/>
      <c r="N52" s="63"/>
      <c r="O52" s="64"/>
      <c r="P52" s="65"/>
      <c r="Q52" s="50">
        <f t="shared" si="21"/>
        <v>0</v>
      </c>
      <c r="R52" s="66"/>
      <c r="S52" s="67">
        <f>SUM(Q48:Q52)</f>
        <v>854426.9305</v>
      </c>
      <c r="T52" s="213">
        <f t="shared" si="22"/>
        <v>0</v>
      </c>
    </row>
    <row r="53" ht="13.5" customHeight="1">
      <c r="A53" s="84" t="s">
        <v>106</v>
      </c>
      <c r="B53" s="144"/>
      <c r="C53" s="86" t="s">
        <v>107</v>
      </c>
      <c r="D53" s="146">
        <v>0.35</v>
      </c>
      <c r="E53" s="212"/>
      <c r="F53" s="195">
        <f t="shared" si="23"/>
        <v>0</v>
      </c>
      <c r="G53" s="148"/>
      <c r="H53" s="94"/>
      <c r="I53" s="94"/>
      <c r="J53" s="149"/>
      <c r="K53" s="93"/>
      <c r="L53" s="94"/>
      <c r="M53" s="95"/>
      <c r="N53" s="93"/>
      <c r="O53" s="94"/>
      <c r="P53" s="95"/>
      <c r="Q53" s="50">
        <f t="shared" si="21"/>
        <v>0</v>
      </c>
      <c r="R53" s="150"/>
      <c r="S53" s="151">
        <f>Q53</f>
        <v>0</v>
      </c>
      <c r="T53" s="97">
        <f t="shared" si="22"/>
        <v>0</v>
      </c>
    </row>
    <row r="54" ht="13.5" customHeight="1">
      <c r="A54" s="38" t="s">
        <v>108</v>
      </c>
      <c r="B54" s="39">
        <v>6445.0</v>
      </c>
      <c r="C54" s="40" t="s">
        <v>109</v>
      </c>
      <c r="D54" s="41">
        <v>0.3</v>
      </c>
      <c r="E54" s="88">
        <v>170300.0</v>
      </c>
      <c r="F54" s="46">
        <f t="shared" si="23"/>
        <v>51090</v>
      </c>
      <c r="G54" s="44">
        <v>4.0</v>
      </c>
      <c r="H54" s="45">
        <f t="shared" ref="H54:H56" si="35">G54*$H$3</f>
        <v>48000</v>
      </c>
      <c r="I54" s="45">
        <f t="shared" ref="I54:I56" si="36">H54*$I$3</f>
        <v>46080</v>
      </c>
      <c r="J54" s="46">
        <f t="shared" ref="J54:J56" si="37">I54*D54</f>
        <v>13824</v>
      </c>
      <c r="K54" s="127"/>
      <c r="L54" s="128"/>
      <c r="M54" s="129"/>
      <c r="N54" s="108">
        <v>16.0</v>
      </c>
      <c r="O54" s="107">
        <f>N54*$O$3</f>
        <v>276800</v>
      </c>
      <c r="P54" s="48">
        <f>O54*$D54</f>
        <v>83040</v>
      </c>
      <c r="Q54" s="50">
        <f t="shared" si="21"/>
        <v>147954</v>
      </c>
      <c r="R54" s="100"/>
      <c r="S54" s="143"/>
      <c r="T54" s="53">
        <f t="shared" si="22"/>
        <v>147954</v>
      </c>
    </row>
    <row r="55" ht="13.5" customHeight="1">
      <c r="A55" s="103" t="s">
        <v>110</v>
      </c>
      <c r="B55" s="55">
        <v>18575.0</v>
      </c>
      <c r="C55" s="56" t="s">
        <v>111</v>
      </c>
      <c r="D55" s="57">
        <v>0.35</v>
      </c>
      <c r="E55" s="214">
        <v>20000.0</v>
      </c>
      <c r="F55" s="62">
        <f t="shared" si="23"/>
        <v>7000</v>
      </c>
      <c r="G55" s="60">
        <v>0.0</v>
      </c>
      <c r="H55" s="61">
        <f t="shared" si="35"/>
        <v>0</v>
      </c>
      <c r="I55" s="61">
        <f t="shared" si="36"/>
        <v>0</v>
      </c>
      <c r="J55" s="62">
        <f t="shared" si="37"/>
        <v>0</v>
      </c>
      <c r="K55" s="63"/>
      <c r="L55" s="64"/>
      <c r="M55" s="65"/>
      <c r="N55" s="63"/>
      <c r="O55" s="64"/>
      <c r="P55" s="65"/>
      <c r="Q55" s="50">
        <f t="shared" si="21"/>
        <v>7000</v>
      </c>
      <c r="R55" s="66"/>
      <c r="S55" s="151">
        <f>SUM(Q54:Q55)</f>
        <v>154954</v>
      </c>
      <c r="T55" s="68">
        <f t="shared" si="22"/>
        <v>7000</v>
      </c>
    </row>
    <row r="56" ht="17.25" customHeight="1">
      <c r="A56" s="215" t="s">
        <v>112</v>
      </c>
      <c r="B56" s="216" t="s">
        <v>113</v>
      </c>
      <c r="C56" s="217" t="s">
        <v>114</v>
      </c>
      <c r="D56" s="126">
        <v>0.2</v>
      </c>
      <c r="E56" s="88">
        <v>189700.0</v>
      </c>
      <c r="F56" s="43">
        <f>(E56+E57)*D56</f>
        <v>201431.232</v>
      </c>
      <c r="G56" s="218"/>
      <c r="H56" s="107">
        <f t="shared" si="35"/>
        <v>0</v>
      </c>
      <c r="I56" s="219">
        <f t="shared" si="36"/>
        <v>0</v>
      </c>
      <c r="J56" s="220">
        <f t="shared" si="37"/>
        <v>0</v>
      </c>
      <c r="K56" s="218"/>
      <c r="L56" s="128"/>
      <c r="M56" s="129"/>
      <c r="N56" s="218"/>
      <c r="O56" s="107">
        <f t="shared" ref="O56:O57" si="38">N56*$O$3</f>
        <v>0</v>
      </c>
      <c r="P56" s="48">
        <f t="shared" ref="P56:P57" si="39">O56*$D56</f>
        <v>0</v>
      </c>
      <c r="Q56" s="50">
        <f t="shared" si="21"/>
        <v>201431.232</v>
      </c>
      <c r="R56" s="100">
        <v>0.5</v>
      </c>
      <c r="S56" s="143"/>
      <c r="T56" s="53">
        <f>S57*R56</f>
        <v>130715.616</v>
      </c>
    </row>
    <row r="57" ht="17.25" customHeight="1">
      <c r="A57" s="221" t="s">
        <v>115</v>
      </c>
      <c r="B57" s="216" t="s">
        <v>113</v>
      </c>
      <c r="C57" s="222" t="s">
        <v>116</v>
      </c>
      <c r="D57" s="223"/>
      <c r="E57" s="58">
        <v>817456.16</v>
      </c>
      <c r="F57" s="59"/>
      <c r="G57" s="224"/>
      <c r="H57" s="107"/>
      <c r="I57" s="225"/>
      <c r="J57" s="226"/>
      <c r="K57" s="224"/>
      <c r="L57" s="64"/>
      <c r="M57" s="65"/>
      <c r="N57" s="224"/>
      <c r="O57" s="107">
        <f t="shared" si="38"/>
        <v>0</v>
      </c>
      <c r="P57" s="48">
        <f t="shared" si="39"/>
        <v>0</v>
      </c>
      <c r="Q57" s="227">
        <v>60000.0</v>
      </c>
      <c r="R57" s="66">
        <v>0.5</v>
      </c>
      <c r="S57" s="151">
        <f>SUM(Q56:Q57)</f>
        <v>261431.232</v>
      </c>
      <c r="T57" s="68">
        <f>S57*R57</f>
        <v>130715.616</v>
      </c>
    </row>
    <row r="58" ht="13.5" customHeight="1">
      <c r="A58" s="228" t="s">
        <v>117</v>
      </c>
      <c r="B58" s="229"/>
      <c r="C58" s="230" t="s">
        <v>118</v>
      </c>
      <c r="D58" s="231"/>
      <c r="E58" s="232"/>
      <c r="F58" s="232">
        <v>1500000.0</v>
      </c>
      <c r="G58" s="233"/>
      <c r="H58" s="234"/>
      <c r="I58" s="234"/>
      <c r="J58" s="235"/>
      <c r="K58" s="236"/>
      <c r="L58" s="234"/>
      <c r="M58" s="237"/>
      <c r="N58" s="236"/>
      <c r="O58" s="234"/>
      <c r="P58" s="237"/>
      <c r="Q58" s="238">
        <f>F58+J58+M58</f>
        <v>1500000</v>
      </c>
      <c r="R58" s="239"/>
      <c r="S58" s="240">
        <f>Q58</f>
        <v>1500000</v>
      </c>
      <c r="T58" s="97">
        <f>S58</f>
        <v>1500000</v>
      </c>
      <c r="U58" s="124" t="s">
        <v>119</v>
      </c>
    </row>
    <row r="59" ht="13.5" customHeight="1">
      <c r="A59" s="38" t="s">
        <v>120</v>
      </c>
      <c r="B59" s="39">
        <v>17255.0</v>
      </c>
      <c r="C59" s="241" t="s">
        <v>121</v>
      </c>
      <c r="D59" s="41">
        <v>0.35</v>
      </c>
      <c r="E59" s="88">
        <v>123000.0</v>
      </c>
      <c r="F59" s="46">
        <f t="shared" ref="F59:F85" si="40">E59*D59</f>
        <v>43050</v>
      </c>
      <c r="G59" s="44">
        <v>6.0</v>
      </c>
      <c r="H59" s="107">
        <f t="shared" ref="H59:H61" si="41">G59*$H$3</f>
        <v>72000</v>
      </c>
      <c r="I59" s="45">
        <f t="shared" ref="I59:I61" si="42">H59*$I$3</f>
        <v>69120</v>
      </c>
      <c r="J59" s="46">
        <f t="shared" ref="J59:J61" si="43">I59*D59</f>
        <v>24192</v>
      </c>
      <c r="K59" s="127"/>
      <c r="L59" s="128"/>
      <c r="M59" s="129"/>
      <c r="N59" s="127"/>
      <c r="O59" s="128"/>
      <c r="P59" s="129"/>
      <c r="Q59" s="50">
        <f t="shared" ref="Q59:Q82" si="44">F59+J59+M59+P59</f>
        <v>67242</v>
      </c>
      <c r="R59" s="51"/>
      <c r="S59" s="52"/>
      <c r="T59" s="53">
        <f t="shared" ref="T59:T73" si="45">Q59</f>
        <v>67242</v>
      </c>
    </row>
    <row r="60" ht="13.5" customHeight="1">
      <c r="A60" s="103" t="s">
        <v>122</v>
      </c>
      <c r="B60" s="55">
        <v>30027.0</v>
      </c>
      <c r="C60" s="242" t="s">
        <v>123</v>
      </c>
      <c r="D60" s="57">
        <v>0.35</v>
      </c>
      <c r="E60" s="88">
        <v>87800.0</v>
      </c>
      <c r="F60" s="62">
        <f t="shared" si="40"/>
        <v>30730</v>
      </c>
      <c r="G60" s="60">
        <v>6.0</v>
      </c>
      <c r="H60" s="107">
        <f t="shared" si="41"/>
        <v>72000</v>
      </c>
      <c r="I60" s="61">
        <f t="shared" si="42"/>
        <v>69120</v>
      </c>
      <c r="J60" s="62">
        <f t="shared" si="43"/>
        <v>24192</v>
      </c>
      <c r="K60" s="63"/>
      <c r="L60" s="64"/>
      <c r="M60" s="65"/>
      <c r="N60" s="63"/>
      <c r="O60" s="64"/>
      <c r="P60" s="65"/>
      <c r="Q60" s="50">
        <f t="shared" si="44"/>
        <v>54922</v>
      </c>
      <c r="R60" s="243"/>
      <c r="S60" s="151">
        <f>SUM(Q59:Q60)</f>
        <v>122164</v>
      </c>
      <c r="T60" s="68">
        <f t="shared" si="45"/>
        <v>54922</v>
      </c>
    </row>
    <row r="61" ht="13.5" customHeight="1">
      <c r="A61" s="84" t="s">
        <v>124</v>
      </c>
      <c r="B61" s="144">
        <v>18392.0</v>
      </c>
      <c r="C61" s="145" t="s">
        <v>125</v>
      </c>
      <c r="D61" s="146">
        <v>0.35</v>
      </c>
      <c r="E61" s="244">
        <v>315500.0</v>
      </c>
      <c r="F61" s="195">
        <f t="shared" si="40"/>
        <v>110425</v>
      </c>
      <c r="G61" s="245">
        <v>5.0</v>
      </c>
      <c r="H61" s="246">
        <f t="shared" si="41"/>
        <v>60000</v>
      </c>
      <c r="I61" s="246">
        <f t="shared" si="42"/>
        <v>57600</v>
      </c>
      <c r="J61" s="195">
        <f t="shared" si="43"/>
        <v>20160</v>
      </c>
      <c r="K61" s="93"/>
      <c r="L61" s="94"/>
      <c r="M61" s="95"/>
      <c r="N61" s="93"/>
      <c r="O61" s="94"/>
      <c r="P61" s="95"/>
      <c r="Q61" s="50">
        <f t="shared" si="44"/>
        <v>130585</v>
      </c>
      <c r="R61" s="96"/>
      <c r="S61" s="67">
        <f>Q61</f>
        <v>130585</v>
      </c>
      <c r="T61" s="192">
        <f t="shared" si="45"/>
        <v>130585</v>
      </c>
    </row>
    <row r="62">
      <c r="A62" s="103" t="s">
        <v>126</v>
      </c>
      <c r="B62" s="39">
        <v>26199.0</v>
      </c>
      <c r="C62" s="40" t="s">
        <v>127</v>
      </c>
      <c r="D62" s="41">
        <v>0.35</v>
      </c>
      <c r="E62" s="88">
        <v>400000.0</v>
      </c>
      <c r="F62" s="46">
        <f t="shared" si="40"/>
        <v>140000</v>
      </c>
      <c r="G62" s="141"/>
      <c r="H62" s="128"/>
      <c r="I62" s="128"/>
      <c r="J62" s="142"/>
      <c r="K62" s="127"/>
      <c r="L62" s="128"/>
      <c r="M62" s="129"/>
      <c r="N62" s="108">
        <v>3.0</v>
      </c>
      <c r="O62" s="107">
        <f t="shared" ref="O62:O64" si="46">N62*$O$3</f>
        <v>51900</v>
      </c>
      <c r="P62" s="48">
        <f t="shared" ref="P62:P64" si="47">O62*$D62</f>
        <v>18165</v>
      </c>
      <c r="Q62" s="50">
        <f t="shared" si="44"/>
        <v>158165</v>
      </c>
      <c r="R62" s="100"/>
      <c r="S62" s="52"/>
      <c r="T62" s="137">
        <f t="shared" si="45"/>
        <v>158165</v>
      </c>
    </row>
    <row r="63">
      <c r="A63" s="103" t="s">
        <v>126</v>
      </c>
      <c r="B63" s="104">
        <v>33763.0</v>
      </c>
      <c r="C63" s="105" t="s">
        <v>128</v>
      </c>
      <c r="D63" s="166">
        <v>0.35</v>
      </c>
      <c r="E63" s="88">
        <v>0.0</v>
      </c>
      <c r="F63" s="48">
        <f t="shared" si="40"/>
        <v>0</v>
      </c>
      <c r="G63" s="113"/>
      <c r="H63" s="110"/>
      <c r="I63" s="110"/>
      <c r="J63" s="114"/>
      <c r="K63" s="109"/>
      <c r="L63" s="110"/>
      <c r="M63" s="111"/>
      <c r="N63" s="108">
        <v>0.0</v>
      </c>
      <c r="O63" s="107">
        <f t="shared" si="46"/>
        <v>0</v>
      </c>
      <c r="P63" s="48">
        <f t="shared" si="47"/>
        <v>0</v>
      </c>
      <c r="Q63" s="50">
        <f t="shared" si="44"/>
        <v>0</v>
      </c>
      <c r="R63" s="112"/>
      <c r="S63" s="52"/>
      <c r="T63" s="204">
        <f t="shared" si="45"/>
        <v>0</v>
      </c>
    </row>
    <row r="64" ht="13.5" customHeight="1">
      <c r="A64" s="103" t="s">
        <v>126</v>
      </c>
      <c r="B64" s="55">
        <v>40924.0</v>
      </c>
      <c r="C64" s="56" t="s">
        <v>129</v>
      </c>
      <c r="D64" s="57">
        <v>0.35</v>
      </c>
      <c r="E64" s="214">
        <v>50000.0</v>
      </c>
      <c r="F64" s="62">
        <f t="shared" si="40"/>
        <v>17500</v>
      </c>
      <c r="G64" s="152"/>
      <c r="H64" s="64"/>
      <c r="I64" s="64"/>
      <c r="J64" s="153"/>
      <c r="K64" s="63"/>
      <c r="L64" s="64"/>
      <c r="M64" s="65"/>
      <c r="N64" s="108">
        <v>0.0</v>
      </c>
      <c r="O64" s="107">
        <f t="shared" si="46"/>
        <v>0</v>
      </c>
      <c r="P64" s="48">
        <f t="shared" si="47"/>
        <v>0</v>
      </c>
      <c r="Q64" s="50">
        <f t="shared" si="44"/>
        <v>17500</v>
      </c>
      <c r="R64" s="66"/>
      <c r="S64" s="67">
        <f>SUM(Q62:Q64)</f>
        <v>175665</v>
      </c>
      <c r="T64" s="213">
        <f t="shared" si="45"/>
        <v>17500</v>
      </c>
    </row>
    <row r="65" ht="13.5" customHeight="1">
      <c r="A65" s="38" t="s">
        <v>130</v>
      </c>
      <c r="B65" s="39">
        <v>27071.0</v>
      </c>
      <c r="C65" s="241" t="s">
        <v>131</v>
      </c>
      <c r="D65" s="41">
        <v>0.35</v>
      </c>
      <c r="E65" s="88">
        <v>390000.0</v>
      </c>
      <c r="F65" s="46">
        <f t="shared" si="40"/>
        <v>136500</v>
      </c>
      <c r="G65" s="44">
        <v>6.0</v>
      </c>
      <c r="H65" s="107">
        <f>G66*$H$3</f>
        <v>0</v>
      </c>
      <c r="I65" s="45">
        <f>H65*$I$3</f>
        <v>0</v>
      </c>
      <c r="J65" s="46">
        <f>I65*D65</f>
        <v>0</v>
      </c>
      <c r="K65" s="127"/>
      <c r="L65" s="128"/>
      <c r="M65" s="129"/>
      <c r="N65" s="127"/>
      <c r="O65" s="128"/>
      <c r="P65" s="129"/>
      <c r="Q65" s="50">
        <f t="shared" si="44"/>
        <v>136500</v>
      </c>
      <c r="R65" s="51"/>
      <c r="S65" s="247"/>
      <c r="T65" s="137">
        <f t="shared" si="45"/>
        <v>136500</v>
      </c>
    </row>
    <row r="66" ht="13.5" customHeight="1">
      <c r="A66" s="103" t="s">
        <v>132</v>
      </c>
      <c r="B66" s="104">
        <v>32404.0</v>
      </c>
      <c r="C66" s="248" t="s">
        <v>133</v>
      </c>
      <c r="D66" s="166">
        <v>0.35</v>
      </c>
      <c r="E66" s="88">
        <v>245000.0</v>
      </c>
      <c r="F66" s="48">
        <f t="shared" si="40"/>
        <v>85750</v>
      </c>
      <c r="G66" s="110"/>
      <c r="H66" s="110"/>
      <c r="I66" s="110"/>
      <c r="J66" s="114"/>
      <c r="K66" s="109"/>
      <c r="L66" s="110"/>
      <c r="M66" s="111"/>
      <c r="N66" s="109"/>
      <c r="O66" s="110"/>
      <c r="P66" s="111"/>
      <c r="Q66" s="50">
        <f t="shared" si="44"/>
        <v>85750</v>
      </c>
      <c r="R66" s="249"/>
      <c r="S66" s="67">
        <f>SUM(Q65:Q66)</f>
        <v>222250</v>
      </c>
      <c r="T66" s="204">
        <f t="shared" si="45"/>
        <v>85750</v>
      </c>
    </row>
    <row r="67" ht="13.5" customHeight="1">
      <c r="A67" s="84" t="s">
        <v>134</v>
      </c>
      <c r="B67" s="250">
        <v>4977.0</v>
      </c>
      <c r="C67" s="251" t="s">
        <v>135</v>
      </c>
      <c r="D67" s="146">
        <v>0.35</v>
      </c>
      <c r="E67" s="244">
        <v>0.0</v>
      </c>
      <c r="F67" s="195">
        <f t="shared" si="40"/>
        <v>0</v>
      </c>
      <c r="G67" s="148"/>
      <c r="H67" s="94"/>
      <c r="I67" s="94"/>
      <c r="J67" s="149"/>
      <c r="K67" s="93"/>
      <c r="L67" s="94"/>
      <c r="M67" s="95"/>
      <c r="N67" s="93"/>
      <c r="O67" s="94"/>
      <c r="P67" s="95"/>
      <c r="Q67" s="50">
        <f t="shared" si="44"/>
        <v>0</v>
      </c>
      <c r="R67" s="252"/>
      <c r="S67" s="67">
        <f>Q67</f>
        <v>0</v>
      </c>
      <c r="T67" s="192">
        <f t="shared" si="45"/>
        <v>0</v>
      </c>
    </row>
    <row r="68" ht="13.5" customHeight="1">
      <c r="A68" s="38" t="s">
        <v>136</v>
      </c>
      <c r="B68" s="39">
        <v>20244.0</v>
      </c>
      <c r="C68" s="241" t="s">
        <v>137</v>
      </c>
      <c r="D68" s="41">
        <v>0.3</v>
      </c>
      <c r="E68" s="88">
        <v>254500.0</v>
      </c>
      <c r="F68" s="48">
        <f t="shared" si="40"/>
        <v>76350</v>
      </c>
      <c r="G68" s="106">
        <f>37+6</f>
        <v>43</v>
      </c>
      <c r="H68" s="107">
        <f>G68*$H$3</f>
        <v>516000</v>
      </c>
      <c r="I68" s="107">
        <f>H68*$I$3</f>
        <v>495360</v>
      </c>
      <c r="J68" s="46">
        <f>I68*D68</f>
        <v>148608</v>
      </c>
      <c r="K68" s="47">
        <v>2.0</v>
      </c>
      <c r="L68" s="107">
        <f>K68*$L$3</f>
        <v>29212</v>
      </c>
      <c r="M68" s="48">
        <f>L68*D68</f>
        <v>8763.6</v>
      </c>
      <c r="N68" s="47">
        <f>19+N69</f>
        <v>21</v>
      </c>
      <c r="O68" s="107">
        <f>N68*$O$3</f>
        <v>363300</v>
      </c>
      <c r="P68" s="48">
        <f>O68*$D68</f>
        <v>108990</v>
      </c>
      <c r="Q68" s="50">
        <f t="shared" si="44"/>
        <v>342711.6</v>
      </c>
      <c r="R68" s="100"/>
      <c r="S68" s="143"/>
      <c r="T68" s="53">
        <f t="shared" si="45"/>
        <v>342711.6</v>
      </c>
    </row>
    <row r="69" ht="13.5" customHeight="1">
      <c r="A69" s="103" t="s">
        <v>136</v>
      </c>
      <c r="B69" s="104">
        <v>43900.0</v>
      </c>
      <c r="C69" s="248" t="s">
        <v>138</v>
      </c>
      <c r="D69" s="166">
        <v>0.35</v>
      </c>
      <c r="E69" s="88">
        <v>24000.0</v>
      </c>
      <c r="F69" s="48">
        <f t="shared" si="40"/>
        <v>8400</v>
      </c>
      <c r="G69" s="253">
        <v>6.0</v>
      </c>
      <c r="H69" s="110"/>
      <c r="I69" s="110"/>
      <c r="J69" s="114"/>
      <c r="K69" s="253">
        <v>0.0</v>
      </c>
      <c r="L69" s="110"/>
      <c r="M69" s="110"/>
      <c r="N69" s="253">
        <v>2.0</v>
      </c>
      <c r="O69" s="110"/>
      <c r="P69" s="110"/>
      <c r="Q69" s="50">
        <f t="shared" si="44"/>
        <v>8400</v>
      </c>
      <c r="R69" s="112"/>
      <c r="S69" s="160"/>
      <c r="T69" s="102">
        <f t="shared" si="45"/>
        <v>8400</v>
      </c>
    </row>
    <row r="70" ht="13.5" customHeight="1">
      <c r="A70" s="304" t="s">
        <v>136</v>
      </c>
      <c r="B70" s="305">
        <v>41401.0</v>
      </c>
      <c r="C70" s="306" t="s">
        <v>139</v>
      </c>
      <c r="D70" s="307">
        <v>0.35</v>
      </c>
      <c r="E70" s="308">
        <v>0.0</v>
      </c>
      <c r="F70" s="309">
        <f t="shared" si="40"/>
        <v>0</v>
      </c>
      <c r="G70" s="310"/>
      <c r="H70" s="311"/>
      <c r="I70" s="311"/>
      <c r="J70" s="312"/>
      <c r="K70" s="310">
        <v>0.0</v>
      </c>
      <c r="L70" s="311"/>
      <c r="M70" s="311"/>
      <c r="N70" s="310"/>
      <c r="O70" s="311"/>
      <c r="P70" s="311"/>
      <c r="Q70" s="313">
        <f t="shared" si="44"/>
        <v>0</v>
      </c>
      <c r="R70" s="314"/>
      <c r="S70" s="315"/>
      <c r="T70" s="316">
        <f t="shared" si="45"/>
        <v>0</v>
      </c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</row>
    <row r="71" ht="13.5" customHeight="1">
      <c r="A71" s="103" t="s">
        <v>136</v>
      </c>
      <c r="B71" s="104">
        <v>26782.0</v>
      </c>
      <c r="C71" s="248" t="s">
        <v>140</v>
      </c>
      <c r="D71" s="98">
        <v>0.35</v>
      </c>
      <c r="E71" s="88">
        <v>29000.0</v>
      </c>
      <c r="F71" s="48">
        <f t="shared" si="40"/>
        <v>10150</v>
      </c>
      <c r="G71" s="106">
        <v>5.0</v>
      </c>
      <c r="H71" s="107">
        <f t="shared" ref="H71:H72" si="48">G71*$H$3</f>
        <v>60000</v>
      </c>
      <c r="I71" s="107">
        <f t="shared" ref="I71:I72" si="49">H71*$I$3</f>
        <v>57600</v>
      </c>
      <c r="J71" s="48">
        <f t="shared" ref="J71:J72" si="50">I71*D71</f>
        <v>20160</v>
      </c>
      <c r="K71" s="108">
        <v>0.0</v>
      </c>
      <c r="L71" s="107">
        <f t="shared" ref="L71:L72" si="51">K71*$L$3</f>
        <v>0</v>
      </c>
      <c r="M71" s="48">
        <f t="shared" ref="M71:M72" si="52">L71*D71</f>
        <v>0</v>
      </c>
      <c r="N71" s="108">
        <v>0.0</v>
      </c>
      <c r="O71" s="107">
        <f t="shared" ref="O71:O72" si="53">N71*$O$3</f>
        <v>0</v>
      </c>
      <c r="P71" s="48">
        <f t="shared" ref="P71:P72" si="54">O71*$D71</f>
        <v>0</v>
      </c>
      <c r="Q71" s="50">
        <f t="shared" si="44"/>
        <v>30310</v>
      </c>
      <c r="R71" s="112"/>
      <c r="S71" s="160"/>
      <c r="T71" s="102">
        <f t="shared" si="45"/>
        <v>30310</v>
      </c>
      <c r="U71" s="181" t="s">
        <v>75</v>
      </c>
    </row>
    <row r="72" ht="13.5" customHeight="1">
      <c r="A72" s="103" t="s">
        <v>141</v>
      </c>
      <c r="B72" s="104">
        <v>9952.0</v>
      </c>
      <c r="C72" s="248" t="s">
        <v>142</v>
      </c>
      <c r="D72" s="166">
        <v>0.35</v>
      </c>
      <c r="E72" s="88">
        <v>308200.0</v>
      </c>
      <c r="F72" s="48">
        <f t="shared" si="40"/>
        <v>107870</v>
      </c>
      <c r="G72" s="106">
        <v>38.0</v>
      </c>
      <c r="H72" s="107">
        <f t="shared" si="48"/>
        <v>456000</v>
      </c>
      <c r="I72" s="107">
        <f t="shared" si="49"/>
        <v>437760</v>
      </c>
      <c r="J72" s="48">
        <f t="shared" si="50"/>
        <v>153216</v>
      </c>
      <c r="K72" s="108">
        <v>0.0</v>
      </c>
      <c r="L72" s="107">
        <f t="shared" si="51"/>
        <v>0</v>
      </c>
      <c r="M72" s="48">
        <f t="shared" si="52"/>
        <v>0</v>
      </c>
      <c r="N72" s="108">
        <v>11.0</v>
      </c>
      <c r="O72" s="107">
        <f t="shared" si="53"/>
        <v>190300</v>
      </c>
      <c r="P72" s="48">
        <f t="shared" si="54"/>
        <v>66605</v>
      </c>
      <c r="Q72" s="50">
        <f t="shared" si="44"/>
        <v>327691</v>
      </c>
      <c r="R72" s="112"/>
      <c r="S72" s="67">
        <f>SUM(Q68:Q72)</f>
        <v>709112.6</v>
      </c>
      <c r="T72" s="102">
        <f t="shared" si="45"/>
        <v>327691</v>
      </c>
    </row>
    <row r="73" ht="13.5" customHeight="1">
      <c r="A73" s="84" t="s">
        <v>143</v>
      </c>
      <c r="B73" s="144">
        <v>43265.0</v>
      </c>
      <c r="C73" s="254" t="s">
        <v>144</v>
      </c>
      <c r="D73" s="146">
        <v>0.35</v>
      </c>
      <c r="E73" s="244">
        <v>50000.0</v>
      </c>
      <c r="F73" s="89">
        <f t="shared" si="40"/>
        <v>17500</v>
      </c>
      <c r="G73" s="148"/>
      <c r="H73" s="94"/>
      <c r="I73" s="94"/>
      <c r="J73" s="149"/>
      <c r="K73" s="93"/>
      <c r="L73" s="94"/>
      <c r="M73" s="95"/>
      <c r="N73" s="93"/>
      <c r="O73" s="94"/>
      <c r="P73" s="95"/>
      <c r="Q73" s="50">
        <f t="shared" si="44"/>
        <v>17500</v>
      </c>
      <c r="R73" s="252"/>
      <c r="S73" s="67">
        <f>Q73</f>
        <v>17500</v>
      </c>
      <c r="T73" s="192">
        <f t="shared" si="45"/>
        <v>17500</v>
      </c>
    </row>
    <row r="74" ht="13.5" customHeight="1">
      <c r="A74" s="103" t="s">
        <v>145</v>
      </c>
      <c r="B74" s="104">
        <v>36791.0</v>
      </c>
      <c r="C74" s="248" t="s">
        <v>146</v>
      </c>
      <c r="D74" s="166">
        <v>0.3</v>
      </c>
      <c r="E74" s="303">
        <v>60000.0</v>
      </c>
      <c r="F74" s="48">
        <f t="shared" si="40"/>
        <v>18000</v>
      </c>
      <c r="G74" s="113"/>
      <c r="H74" s="110"/>
      <c r="I74" s="110"/>
      <c r="J74" s="114"/>
      <c r="K74" s="109"/>
      <c r="L74" s="110"/>
      <c r="M74" s="208"/>
      <c r="N74" s="109"/>
      <c r="O74" s="110"/>
      <c r="P74" s="208"/>
      <c r="Q74" s="50">
        <f t="shared" si="44"/>
        <v>18000</v>
      </c>
      <c r="R74" s="255"/>
      <c r="S74" s="203"/>
      <c r="T74" s="102">
        <f t="shared" ref="T74:T79" si="55">$S$79/6</f>
        <v>29400</v>
      </c>
      <c r="U74" s="181" t="s">
        <v>75</v>
      </c>
    </row>
    <row r="75" ht="13.5" customHeight="1">
      <c r="A75" s="103" t="s">
        <v>145</v>
      </c>
      <c r="B75" s="104">
        <v>40985.0</v>
      </c>
      <c r="C75" s="248" t="s">
        <v>147</v>
      </c>
      <c r="D75" s="166">
        <v>0.3</v>
      </c>
      <c r="E75" s="318">
        <v>92000.0</v>
      </c>
      <c r="F75" s="48">
        <f t="shared" si="40"/>
        <v>27600</v>
      </c>
      <c r="G75" s="113"/>
      <c r="H75" s="110"/>
      <c r="I75" s="110"/>
      <c r="J75" s="114"/>
      <c r="K75" s="109"/>
      <c r="L75" s="110"/>
      <c r="M75" s="208"/>
      <c r="N75" s="109"/>
      <c r="O75" s="110"/>
      <c r="P75" s="208"/>
      <c r="Q75" s="50">
        <f t="shared" si="44"/>
        <v>27600</v>
      </c>
      <c r="R75" s="255"/>
      <c r="S75" s="203"/>
      <c r="T75" s="102">
        <f t="shared" si="55"/>
        <v>29400</v>
      </c>
      <c r="U75" s="181" t="s">
        <v>75</v>
      </c>
    </row>
    <row r="76" ht="13.5" customHeight="1">
      <c r="A76" s="103" t="s">
        <v>145</v>
      </c>
      <c r="B76" s="104">
        <v>33699.0</v>
      </c>
      <c r="C76" s="248" t="s">
        <v>148</v>
      </c>
      <c r="D76" s="166">
        <v>0.3</v>
      </c>
      <c r="E76" s="318">
        <v>8000.0</v>
      </c>
      <c r="F76" s="48">
        <f t="shared" si="40"/>
        <v>2400</v>
      </c>
      <c r="G76" s="113"/>
      <c r="H76" s="110"/>
      <c r="I76" s="110"/>
      <c r="J76" s="114"/>
      <c r="K76" s="109"/>
      <c r="L76" s="110"/>
      <c r="M76" s="208"/>
      <c r="N76" s="109"/>
      <c r="O76" s="110"/>
      <c r="P76" s="208"/>
      <c r="Q76" s="50">
        <f t="shared" si="44"/>
        <v>2400</v>
      </c>
      <c r="R76" s="255"/>
      <c r="S76" s="203"/>
      <c r="T76" s="102">
        <f t="shared" si="55"/>
        <v>29400</v>
      </c>
      <c r="U76" s="181" t="s">
        <v>75</v>
      </c>
    </row>
    <row r="77" ht="13.5" customHeight="1">
      <c r="A77" s="103" t="s">
        <v>145</v>
      </c>
      <c r="B77" s="104">
        <v>8308.0</v>
      </c>
      <c r="C77" s="248" t="s">
        <v>149</v>
      </c>
      <c r="D77" s="166">
        <v>0.3</v>
      </c>
      <c r="E77" s="318">
        <v>428000.0</v>
      </c>
      <c r="F77" s="48">
        <f t="shared" si="40"/>
        <v>128400</v>
      </c>
      <c r="G77" s="113"/>
      <c r="H77" s="110"/>
      <c r="I77" s="110"/>
      <c r="J77" s="114"/>
      <c r="K77" s="109"/>
      <c r="L77" s="110"/>
      <c r="M77" s="208"/>
      <c r="N77" s="109"/>
      <c r="O77" s="110"/>
      <c r="P77" s="208"/>
      <c r="Q77" s="50">
        <f t="shared" si="44"/>
        <v>128400</v>
      </c>
      <c r="R77" s="255"/>
      <c r="S77" s="203"/>
      <c r="T77" s="102">
        <f t="shared" si="55"/>
        <v>29400</v>
      </c>
      <c r="U77" s="181" t="s">
        <v>75</v>
      </c>
    </row>
    <row r="78" ht="13.5" customHeight="1">
      <c r="A78" s="103" t="s">
        <v>145</v>
      </c>
      <c r="B78" s="104">
        <v>42429.0</v>
      </c>
      <c r="C78" s="248" t="s">
        <v>150</v>
      </c>
      <c r="D78" s="166">
        <v>0.3</v>
      </c>
      <c r="E78" s="88">
        <v>0.0</v>
      </c>
      <c r="F78" s="48">
        <f t="shared" si="40"/>
        <v>0</v>
      </c>
      <c r="G78" s="113"/>
      <c r="H78" s="110"/>
      <c r="I78" s="110"/>
      <c r="J78" s="114"/>
      <c r="K78" s="109"/>
      <c r="L78" s="110"/>
      <c r="M78" s="208"/>
      <c r="N78" s="109"/>
      <c r="O78" s="110"/>
      <c r="P78" s="208"/>
      <c r="Q78" s="50">
        <f t="shared" si="44"/>
        <v>0</v>
      </c>
      <c r="R78" s="255"/>
      <c r="S78" s="203"/>
      <c r="T78" s="102">
        <f t="shared" si="55"/>
        <v>29400</v>
      </c>
      <c r="U78" s="181" t="s">
        <v>75</v>
      </c>
    </row>
    <row r="79" ht="13.5" customHeight="1">
      <c r="A79" s="103" t="s">
        <v>151</v>
      </c>
      <c r="B79" s="104">
        <v>4735.0</v>
      </c>
      <c r="C79" s="248" t="s">
        <v>152</v>
      </c>
      <c r="D79" s="166">
        <v>0.3</v>
      </c>
      <c r="E79" s="88">
        <v>0.0</v>
      </c>
      <c r="F79" s="48">
        <f t="shared" si="40"/>
        <v>0</v>
      </c>
      <c r="G79" s="113"/>
      <c r="H79" s="110"/>
      <c r="I79" s="110"/>
      <c r="J79" s="114"/>
      <c r="K79" s="109"/>
      <c r="L79" s="110"/>
      <c r="M79" s="208"/>
      <c r="N79" s="109"/>
      <c r="O79" s="110"/>
      <c r="P79" s="208"/>
      <c r="Q79" s="50">
        <f t="shared" si="44"/>
        <v>0</v>
      </c>
      <c r="R79" s="255"/>
      <c r="S79" s="151">
        <f>SUM(Q74:Q79)</f>
        <v>176400</v>
      </c>
      <c r="T79" s="102">
        <f t="shared" si="55"/>
        <v>29400</v>
      </c>
      <c r="U79" s="181" t="s">
        <v>75</v>
      </c>
    </row>
    <row r="80" ht="13.5" customHeight="1">
      <c r="A80" s="84" t="s">
        <v>153</v>
      </c>
      <c r="B80" s="85">
        <v>3247.0</v>
      </c>
      <c r="C80" s="86" t="s">
        <v>154</v>
      </c>
      <c r="D80" s="146">
        <v>0.35</v>
      </c>
      <c r="E80" s="256">
        <v>154100.0</v>
      </c>
      <c r="F80" s="195">
        <f t="shared" si="40"/>
        <v>53935</v>
      </c>
      <c r="G80" s="148"/>
      <c r="H80" s="94"/>
      <c r="I80" s="94"/>
      <c r="J80" s="149"/>
      <c r="K80" s="93"/>
      <c r="L80" s="94"/>
      <c r="M80" s="95"/>
      <c r="N80" s="93"/>
      <c r="O80" s="94"/>
      <c r="P80" s="95"/>
      <c r="Q80" s="50">
        <f t="shared" si="44"/>
        <v>53935</v>
      </c>
      <c r="R80" s="96"/>
      <c r="S80" s="67">
        <f>Q80</f>
        <v>53935</v>
      </c>
      <c r="T80" s="97">
        <f t="shared" ref="T80:T82" si="56">Q80</f>
        <v>53935</v>
      </c>
      <c r="U80" s="181" t="s">
        <v>75</v>
      </c>
    </row>
    <row r="81" ht="13.5" customHeight="1">
      <c r="A81" s="38" t="s">
        <v>155</v>
      </c>
      <c r="B81" s="39">
        <v>17171.0</v>
      </c>
      <c r="C81" s="40" t="s">
        <v>156</v>
      </c>
      <c r="D81" s="41">
        <v>0.35</v>
      </c>
      <c r="E81" s="88">
        <v>0.0</v>
      </c>
      <c r="F81" s="46">
        <f t="shared" si="40"/>
        <v>0</v>
      </c>
      <c r="G81" s="44">
        <v>0.0</v>
      </c>
      <c r="H81" s="107">
        <f t="shared" ref="H81:H87" si="57">G81*$H$3</f>
        <v>0</v>
      </c>
      <c r="I81" s="45">
        <f t="shared" ref="I81:I87" si="58">H81*$I$3</f>
        <v>0</v>
      </c>
      <c r="J81" s="46">
        <f t="shared" ref="J81:J85" si="59">I81*D81</f>
        <v>0</v>
      </c>
      <c r="K81" s="127"/>
      <c r="L81" s="128"/>
      <c r="M81" s="129"/>
      <c r="N81" s="127"/>
      <c r="O81" s="128"/>
      <c r="P81" s="129"/>
      <c r="Q81" s="50">
        <f t="shared" si="44"/>
        <v>0</v>
      </c>
      <c r="R81" s="100"/>
      <c r="S81" s="130"/>
      <c r="T81" s="137">
        <f t="shared" si="56"/>
        <v>0</v>
      </c>
    </row>
    <row r="82" ht="13.5" customHeight="1">
      <c r="A82" s="103" t="s">
        <v>157</v>
      </c>
      <c r="B82" s="55">
        <v>22654.0</v>
      </c>
      <c r="C82" s="56" t="s">
        <v>158</v>
      </c>
      <c r="D82" s="57">
        <v>0.35</v>
      </c>
      <c r="E82" s="88">
        <f>414000+8000</f>
        <v>422000</v>
      </c>
      <c r="F82" s="62">
        <f t="shared" si="40"/>
        <v>147700</v>
      </c>
      <c r="G82" s="60">
        <v>19.0</v>
      </c>
      <c r="H82" s="107">
        <f t="shared" si="57"/>
        <v>228000</v>
      </c>
      <c r="I82" s="61">
        <f t="shared" si="58"/>
        <v>218880</v>
      </c>
      <c r="J82" s="62">
        <f t="shared" si="59"/>
        <v>76608</v>
      </c>
      <c r="K82" s="63"/>
      <c r="L82" s="64"/>
      <c r="M82" s="65"/>
      <c r="N82" s="63"/>
      <c r="O82" s="64"/>
      <c r="P82" s="65"/>
      <c r="Q82" s="50">
        <f t="shared" si="44"/>
        <v>224308</v>
      </c>
      <c r="R82" s="66"/>
      <c r="S82" s="67">
        <f>SUM(Q81:Q82)</f>
        <v>224308</v>
      </c>
      <c r="T82" s="213">
        <f t="shared" si="56"/>
        <v>224308</v>
      </c>
    </row>
    <row r="83" ht="13.5" customHeight="1">
      <c r="A83" s="38" t="s">
        <v>159</v>
      </c>
      <c r="B83" s="164">
        <v>44669.0</v>
      </c>
      <c r="C83" s="165" t="s">
        <v>160</v>
      </c>
      <c r="D83" s="41">
        <v>0.35</v>
      </c>
      <c r="E83" s="257">
        <v>0.0</v>
      </c>
      <c r="F83" s="258">
        <f t="shared" si="40"/>
        <v>0</v>
      </c>
      <c r="G83" s="259"/>
      <c r="H83" s="260">
        <f t="shared" si="57"/>
        <v>0</v>
      </c>
      <c r="I83" s="260">
        <f t="shared" si="58"/>
        <v>0</v>
      </c>
      <c r="J83" s="261">
        <f t="shared" si="59"/>
        <v>0</v>
      </c>
      <c r="K83" s="262"/>
      <c r="L83" s="260">
        <f t="shared" ref="L83:L94" si="60">K83*$L$3</f>
        <v>0</v>
      </c>
      <c r="M83" s="261">
        <f t="shared" ref="M83:M85" si="61">L83*D83</f>
        <v>0</v>
      </c>
      <c r="N83" s="127"/>
      <c r="O83" s="128"/>
      <c r="P83" s="129"/>
      <c r="Q83" s="129"/>
      <c r="R83" s="100"/>
      <c r="S83" s="143"/>
      <c r="T83" s="263"/>
    </row>
    <row r="84" ht="13.5" customHeight="1">
      <c r="A84" s="103" t="s">
        <v>159</v>
      </c>
      <c r="B84" s="115">
        <v>44335.0</v>
      </c>
      <c r="C84" s="116" t="s">
        <v>161</v>
      </c>
      <c r="D84" s="166">
        <v>0.35</v>
      </c>
      <c r="E84" s="118">
        <v>25500.0</v>
      </c>
      <c r="F84" s="119">
        <f t="shared" si="40"/>
        <v>8925</v>
      </c>
      <c r="G84" s="120"/>
      <c r="H84" s="121">
        <f t="shared" si="57"/>
        <v>0</v>
      </c>
      <c r="I84" s="121">
        <f t="shared" si="58"/>
        <v>0</v>
      </c>
      <c r="J84" s="122">
        <f t="shared" si="59"/>
        <v>0</v>
      </c>
      <c r="K84" s="123"/>
      <c r="L84" s="121">
        <f t="shared" si="60"/>
        <v>0</v>
      </c>
      <c r="M84" s="122">
        <f t="shared" si="61"/>
        <v>0</v>
      </c>
      <c r="N84" s="109"/>
      <c r="O84" s="110"/>
      <c r="P84" s="111"/>
      <c r="Q84" s="111"/>
      <c r="R84" s="112"/>
      <c r="S84" s="160"/>
      <c r="T84" s="264"/>
    </row>
    <row r="85" ht="13.5" customHeight="1">
      <c r="A85" s="103" t="s">
        <v>159</v>
      </c>
      <c r="B85" s="115">
        <v>44406.0</v>
      </c>
      <c r="C85" s="116" t="s">
        <v>162</v>
      </c>
      <c r="D85" s="166">
        <v>0.35</v>
      </c>
      <c r="E85" s="118">
        <v>30000.0</v>
      </c>
      <c r="F85" s="119">
        <f t="shared" si="40"/>
        <v>10500</v>
      </c>
      <c r="G85" s="120"/>
      <c r="H85" s="121">
        <f t="shared" si="57"/>
        <v>0</v>
      </c>
      <c r="I85" s="121">
        <f t="shared" si="58"/>
        <v>0</v>
      </c>
      <c r="J85" s="122">
        <f t="shared" si="59"/>
        <v>0</v>
      </c>
      <c r="K85" s="123"/>
      <c r="L85" s="121">
        <f t="shared" si="60"/>
        <v>0</v>
      </c>
      <c r="M85" s="122">
        <f t="shared" si="61"/>
        <v>0</v>
      </c>
      <c r="N85" s="109"/>
      <c r="O85" s="110"/>
      <c r="P85" s="111"/>
      <c r="Q85" s="111"/>
      <c r="R85" s="112"/>
      <c r="S85" s="160"/>
      <c r="T85" s="264"/>
    </row>
    <row r="86" ht="13.5" customHeight="1">
      <c r="A86" s="103" t="s">
        <v>159</v>
      </c>
      <c r="B86" s="104">
        <v>21759.0</v>
      </c>
      <c r="C86" s="105" t="s">
        <v>163</v>
      </c>
      <c r="D86" s="166">
        <v>0.3</v>
      </c>
      <c r="E86" s="318">
        <v>1090100.0</v>
      </c>
      <c r="F86" s="178">
        <f>(E86*$D$86)+F83+F84+F85</f>
        <v>346455</v>
      </c>
      <c r="G86" s="108">
        <v>65.0</v>
      </c>
      <c r="H86" s="107">
        <f t="shared" si="57"/>
        <v>780000</v>
      </c>
      <c r="I86" s="107">
        <f t="shared" si="58"/>
        <v>748800</v>
      </c>
      <c r="J86" s="265">
        <f>(I86*$D$86)+J83+J84+J85</f>
        <v>224640</v>
      </c>
      <c r="K86" s="108">
        <v>13.0</v>
      </c>
      <c r="L86" s="107">
        <f t="shared" si="60"/>
        <v>189878</v>
      </c>
      <c r="M86" s="265">
        <f>(L86*$D$86)+M83+M84+M85</f>
        <v>56963.4</v>
      </c>
      <c r="N86" s="109"/>
      <c r="O86" s="110"/>
      <c r="P86" s="111"/>
      <c r="Q86" s="179">
        <f t="shared" ref="Q86:Q98" si="62">F86+J86+M86+P86</f>
        <v>628058.4</v>
      </c>
      <c r="R86" s="112"/>
      <c r="S86" s="160"/>
      <c r="T86" s="102">
        <f t="shared" ref="T86:T98" si="63">Q86</f>
        <v>628058.4</v>
      </c>
      <c r="U86" s="124" t="s">
        <v>164</v>
      </c>
    </row>
    <row r="87" ht="13.5" customHeight="1">
      <c r="A87" s="103" t="s">
        <v>159</v>
      </c>
      <c r="B87" s="104">
        <v>29121.0</v>
      </c>
      <c r="C87" s="105" t="s">
        <v>165</v>
      </c>
      <c r="D87" s="166">
        <v>0.35</v>
      </c>
      <c r="E87" s="88">
        <v>107800.0</v>
      </c>
      <c r="F87" s="48">
        <f t="shared" ref="F87:F98" si="64">E87*D87</f>
        <v>37730</v>
      </c>
      <c r="G87" s="106">
        <v>6.0</v>
      </c>
      <c r="H87" s="107">
        <f t="shared" si="57"/>
        <v>72000</v>
      </c>
      <c r="I87" s="107">
        <f t="shared" si="58"/>
        <v>69120</v>
      </c>
      <c r="J87" s="48">
        <f>I87*D87</f>
        <v>24192</v>
      </c>
      <c r="K87" s="108">
        <v>0.0</v>
      </c>
      <c r="L87" s="107">
        <f t="shared" si="60"/>
        <v>0</v>
      </c>
      <c r="M87" s="48">
        <f t="shared" ref="M87:M94" si="65">L87*D87</f>
        <v>0</v>
      </c>
      <c r="N87" s="109"/>
      <c r="O87" s="110"/>
      <c r="P87" s="111"/>
      <c r="Q87" s="50">
        <f t="shared" si="62"/>
        <v>61922</v>
      </c>
      <c r="R87" s="112"/>
      <c r="S87" s="160"/>
      <c r="T87" s="102">
        <f t="shared" si="63"/>
        <v>61922</v>
      </c>
    </row>
    <row r="88" ht="13.5" customHeight="1">
      <c r="A88" s="103" t="s">
        <v>159</v>
      </c>
      <c r="B88" s="104">
        <v>36361.0</v>
      </c>
      <c r="C88" s="105" t="s">
        <v>166</v>
      </c>
      <c r="D88" s="166">
        <v>0.35</v>
      </c>
      <c r="E88" s="88">
        <v>38000.0</v>
      </c>
      <c r="F88" s="48">
        <f t="shared" si="64"/>
        <v>13300</v>
      </c>
      <c r="G88" s="113"/>
      <c r="H88" s="110"/>
      <c r="I88" s="110"/>
      <c r="J88" s="114"/>
      <c r="K88" s="108">
        <v>0.0</v>
      </c>
      <c r="L88" s="107">
        <f t="shared" si="60"/>
        <v>0</v>
      </c>
      <c r="M88" s="48">
        <f t="shared" si="65"/>
        <v>0</v>
      </c>
      <c r="N88" s="109"/>
      <c r="O88" s="110"/>
      <c r="P88" s="111"/>
      <c r="Q88" s="50">
        <f t="shared" si="62"/>
        <v>13300</v>
      </c>
      <c r="R88" s="112"/>
      <c r="S88" s="160"/>
      <c r="T88" s="102">
        <f t="shared" si="63"/>
        <v>13300</v>
      </c>
      <c r="U88" s="181" t="s">
        <v>75</v>
      </c>
    </row>
    <row r="89" ht="13.5" customHeight="1">
      <c r="A89" s="103" t="s">
        <v>159</v>
      </c>
      <c r="B89" s="104">
        <v>42778.0</v>
      </c>
      <c r="C89" s="105" t="s">
        <v>167</v>
      </c>
      <c r="D89" s="266">
        <v>0.35</v>
      </c>
      <c r="E89" s="88">
        <v>36500.0</v>
      </c>
      <c r="F89" s="48">
        <f t="shared" si="64"/>
        <v>12775</v>
      </c>
      <c r="G89" s="113"/>
      <c r="H89" s="110"/>
      <c r="I89" s="110"/>
      <c r="J89" s="114"/>
      <c r="K89" s="108">
        <v>3.0</v>
      </c>
      <c r="L89" s="107">
        <f t="shared" si="60"/>
        <v>43818</v>
      </c>
      <c r="M89" s="48">
        <f t="shared" si="65"/>
        <v>15336.3</v>
      </c>
      <c r="N89" s="109"/>
      <c r="O89" s="110"/>
      <c r="P89" s="111"/>
      <c r="Q89" s="50">
        <f t="shared" si="62"/>
        <v>28111.3</v>
      </c>
      <c r="R89" s="267"/>
      <c r="S89" s="268"/>
      <c r="T89" s="102">
        <f t="shared" si="63"/>
        <v>28111.3</v>
      </c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</row>
    <row r="90" ht="13.5" customHeight="1">
      <c r="A90" s="103" t="s">
        <v>159</v>
      </c>
      <c r="B90" s="104">
        <v>32603.0</v>
      </c>
      <c r="C90" s="105" t="s">
        <v>168</v>
      </c>
      <c r="D90" s="166">
        <v>0.3</v>
      </c>
      <c r="E90" s="88">
        <v>725039.0</v>
      </c>
      <c r="F90" s="48">
        <f t="shared" si="64"/>
        <v>217511.7</v>
      </c>
      <c r="G90" s="113"/>
      <c r="H90" s="110"/>
      <c r="I90" s="110"/>
      <c r="J90" s="114"/>
      <c r="K90" s="108">
        <v>0.0</v>
      </c>
      <c r="L90" s="107">
        <f t="shared" si="60"/>
        <v>0</v>
      </c>
      <c r="M90" s="48">
        <f t="shared" si="65"/>
        <v>0</v>
      </c>
      <c r="N90" s="109"/>
      <c r="O90" s="110"/>
      <c r="P90" s="111"/>
      <c r="Q90" s="50">
        <f t="shared" si="62"/>
        <v>217511.7</v>
      </c>
      <c r="R90" s="249"/>
      <c r="S90" s="203"/>
      <c r="T90" s="102">
        <f t="shared" si="63"/>
        <v>217511.7</v>
      </c>
      <c r="U90" s="181" t="s">
        <v>75</v>
      </c>
    </row>
    <row r="91" ht="13.5" customHeight="1">
      <c r="A91" s="103" t="s">
        <v>159</v>
      </c>
      <c r="B91" s="104">
        <v>33384.0</v>
      </c>
      <c r="C91" s="105" t="s">
        <v>169</v>
      </c>
      <c r="D91" s="166">
        <v>0.35</v>
      </c>
      <c r="E91" s="88">
        <v>291500.0</v>
      </c>
      <c r="F91" s="48">
        <f t="shared" si="64"/>
        <v>102025</v>
      </c>
      <c r="G91" s="106">
        <v>16.0</v>
      </c>
      <c r="H91" s="107">
        <f>G91*$H$3</f>
        <v>192000</v>
      </c>
      <c r="I91" s="107">
        <f>H91*$I$3</f>
        <v>184320</v>
      </c>
      <c r="J91" s="48">
        <f>I91*D91</f>
        <v>64512</v>
      </c>
      <c r="K91" s="108">
        <v>0.0</v>
      </c>
      <c r="L91" s="107">
        <f t="shared" si="60"/>
        <v>0</v>
      </c>
      <c r="M91" s="48">
        <f t="shared" si="65"/>
        <v>0</v>
      </c>
      <c r="N91" s="109"/>
      <c r="O91" s="110"/>
      <c r="P91" s="111"/>
      <c r="Q91" s="50">
        <f t="shared" si="62"/>
        <v>166537</v>
      </c>
      <c r="R91" s="249"/>
      <c r="S91" s="203"/>
      <c r="T91" s="102">
        <f t="shared" si="63"/>
        <v>166537</v>
      </c>
    </row>
    <row r="92" ht="13.5" customHeight="1">
      <c r="A92" s="103" t="s">
        <v>159</v>
      </c>
      <c r="B92" s="104">
        <v>32786.0</v>
      </c>
      <c r="C92" s="105" t="s">
        <v>170</v>
      </c>
      <c r="D92" s="166">
        <v>0.35</v>
      </c>
      <c r="E92" s="88">
        <v>60000.0</v>
      </c>
      <c r="F92" s="48">
        <f t="shared" si="64"/>
        <v>21000</v>
      </c>
      <c r="G92" s="113"/>
      <c r="H92" s="110"/>
      <c r="I92" s="110"/>
      <c r="J92" s="114"/>
      <c r="K92" s="108">
        <v>0.0</v>
      </c>
      <c r="L92" s="107">
        <f t="shared" si="60"/>
        <v>0</v>
      </c>
      <c r="M92" s="48">
        <f t="shared" si="65"/>
        <v>0</v>
      </c>
      <c r="N92" s="109"/>
      <c r="O92" s="110"/>
      <c r="P92" s="111"/>
      <c r="Q92" s="50">
        <f t="shared" si="62"/>
        <v>21000</v>
      </c>
      <c r="R92" s="249"/>
      <c r="S92" s="203"/>
      <c r="T92" s="102">
        <f t="shared" si="63"/>
        <v>21000</v>
      </c>
    </row>
    <row r="93" ht="13.5" customHeight="1">
      <c r="A93" s="103" t="s">
        <v>159</v>
      </c>
      <c r="B93" s="104">
        <v>39037.0</v>
      </c>
      <c r="C93" s="105" t="s">
        <v>171</v>
      </c>
      <c r="D93" s="166">
        <v>0.35</v>
      </c>
      <c r="E93" s="88">
        <v>77019.0</v>
      </c>
      <c r="F93" s="48">
        <f t="shared" si="64"/>
        <v>26956.65</v>
      </c>
      <c r="G93" s="113"/>
      <c r="H93" s="110"/>
      <c r="I93" s="110"/>
      <c r="J93" s="114"/>
      <c r="K93" s="108">
        <v>2.0</v>
      </c>
      <c r="L93" s="107">
        <f t="shared" si="60"/>
        <v>29212</v>
      </c>
      <c r="M93" s="48">
        <f t="shared" si="65"/>
        <v>10224.2</v>
      </c>
      <c r="N93" s="109"/>
      <c r="O93" s="110"/>
      <c r="P93" s="111"/>
      <c r="Q93" s="50">
        <f t="shared" si="62"/>
        <v>37180.85</v>
      </c>
      <c r="R93" s="249"/>
      <c r="S93" s="203"/>
      <c r="T93" s="102">
        <f t="shared" si="63"/>
        <v>37180.85</v>
      </c>
      <c r="U93" s="181" t="s">
        <v>75</v>
      </c>
    </row>
    <row r="94" ht="13.5" customHeight="1">
      <c r="A94" s="54" t="s">
        <v>172</v>
      </c>
      <c r="B94" s="55">
        <v>29646.0</v>
      </c>
      <c r="C94" s="56" t="s">
        <v>173</v>
      </c>
      <c r="D94" s="57">
        <v>0.35</v>
      </c>
      <c r="E94" s="214">
        <v>339000.0</v>
      </c>
      <c r="F94" s="62">
        <f t="shared" si="64"/>
        <v>118650</v>
      </c>
      <c r="G94" s="152"/>
      <c r="H94" s="64"/>
      <c r="I94" s="64"/>
      <c r="J94" s="153"/>
      <c r="K94" s="270">
        <v>1.0</v>
      </c>
      <c r="L94" s="107">
        <f t="shared" si="60"/>
        <v>14606</v>
      </c>
      <c r="M94" s="48">
        <f t="shared" si="65"/>
        <v>5112.1</v>
      </c>
      <c r="N94" s="109"/>
      <c r="O94" s="110"/>
      <c r="P94" s="111"/>
      <c r="Q94" s="50">
        <f t="shared" si="62"/>
        <v>123762.1</v>
      </c>
      <c r="R94" s="163"/>
      <c r="S94" s="151">
        <f>SUM(Q86:Q94)</f>
        <v>1297383.35</v>
      </c>
      <c r="T94" s="271">
        <f t="shared" si="63"/>
        <v>123762.1</v>
      </c>
    </row>
    <row r="95" ht="13.5" customHeight="1">
      <c r="A95" s="38" t="s">
        <v>174</v>
      </c>
      <c r="B95" s="39">
        <v>21947.0</v>
      </c>
      <c r="C95" s="40" t="s">
        <v>175</v>
      </c>
      <c r="D95" s="41">
        <v>0.35</v>
      </c>
      <c r="E95" s="88">
        <v>220000.0</v>
      </c>
      <c r="F95" s="46">
        <f t="shared" si="64"/>
        <v>77000</v>
      </c>
      <c r="G95" s="44">
        <v>23.0</v>
      </c>
      <c r="H95" s="45">
        <f>G95*$H$3</f>
        <v>276000</v>
      </c>
      <c r="I95" s="45">
        <f>H95*$I$3</f>
        <v>264960</v>
      </c>
      <c r="J95" s="46">
        <f>I95*D95</f>
        <v>92736</v>
      </c>
      <c r="K95" s="127"/>
      <c r="L95" s="128"/>
      <c r="M95" s="129"/>
      <c r="N95" s="47">
        <v>1.0</v>
      </c>
      <c r="O95" s="45">
        <f t="shared" ref="O95:O96" si="66">N95*$O$3</f>
        <v>17300</v>
      </c>
      <c r="P95" s="46">
        <f t="shared" ref="P95:P96" si="67">O95*$D95</f>
        <v>6055</v>
      </c>
      <c r="Q95" s="50">
        <f t="shared" si="62"/>
        <v>175791</v>
      </c>
      <c r="R95" s="100"/>
      <c r="S95" s="143"/>
      <c r="T95" s="53">
        <f t="shared" si="63"/>
        <v>175791</v>
      </c>
    </row>
    <row r="96" ht="13.5" customHeight="1">
      <c r="A96" s="103" t="s">
        <v>174</v>
      </c>
      <c r="B96" s="104">
        <v>30989.0</v>
      </c>
      <c r="C96" s="105" t="s">
        <v>176</v>
      </c>
      <c r="D96" s="166">
        <v>0.35</v>
      </c>
      <c r="E96" s="88">
        <v>120319.0</v>
      </c>
      <c r="F96" s="48">
        <f t="shared" si="64"/>
        <v>42111.65</v>
      </c>
      <c r="G96" s="113"/>
      <c r="H96" s="110"/>
      <c r="I96" s="110"/>
      <c r="J96" s="114"/>
      <c r="K96" s="109"/>
      <c r="L96" s="110"/>
      <c r="M96" s="111"/>
      <c r="N96" s="108">
        <v>0.0</v>
      </c>
      <c r="O96" s="107">
        <f t="shared" si="66"/>
        <v>0</v>
      </c>
      <c r="P96" s="48">
        <f t="shared" si="67"/>
        <v>0</v>
      </c>
      <c r="Q96" s="50">
        <f t="shared" si="62"/>
        <v>42111.65</v>
      </c>
      <c r="R96" s="112"/>
      <c r="S96" s="160"/>
      <c r="T96" s="102">
        <f t="shared" si="63"/>
        <v>42111.65</v>
      </c>
    </row>
    <row r="97" ht="13.5" customHeight="1">
      <c r="A97" s="103" t="s">
        <v>174</v>
      </c>
      <c r="B97" s="104">
        <v>42606.0</v>
      </c>
      <c r="C97" s="105" t="s">
        <v>177</v>
      </c>
      <c r="D97" s="166">
        <v>0.35</v>
      </c>
      <c r="E97" s="88">
        <v>160500.0</v>
      </c>
      <c r="F97" s="48">
        <f t="shared" si="64"/>
        <v>56175</v>
      </c>
      <c r="G97" s="113"/>
      <c r="H97" s="110"/>
      <c r="I97" s="110"/>
      <c r="J97" s="114"/>
      <c r="K97" s="109"/>
      <c r="L97" s="110"/>
      <c r="M97" s="111"/>
      <c r="N97" s="109"/>
      <c r="O97" s="110"/>
      <c r="P97" s="111"/>
      <c r="Q97" s="50">
        <f t="shared" si="62"/>
        <v>56175</v>
      </c>
      <c r="R97" s="159"/>
      <c r="S97" s="160"/>
      <c r="T97" s="102">
        <f t="shared" si="63"/>
        <v>56175</v>
      </c>
    </row>
    <row r="98" ht="13.5" customHeight="1">
      <c r="A98" s="54" t="s">
        <v>178</v>
      </c>
      <c r="B98" s="55">
        <v>42674.0</v>
      </c>
      <c r="C98" s="56" t="s">
        <v>179</v>
      </c>
      <c r="D98" s="57">
        <v>0.35</v>
      </c>
      <c r="E98" s="214">
        <v>231000.0</v>
      </c>
      <c r="F98" s="62">
        <f t="shared" si="64"/>
        <v>80850</v>
      </c>
      <c r="G98" s="152"/>
      <c r="H98" s="64"/>
      <c r="I98" s="64"/>
      <c r="J98" s="153"/>
      <c r="K98" s="63"/>
      <c r="L98" s="64"/>
      <c r="M98" s="65"/>
      <c r="N98" s="63"/>
      <c r="O98" s="64"/>
      <c r="P98" s="65"/>
      <c r="Q98" s="50">
        <f t="shared" si="62"/>
        <v>80850</v>
      </c>
      <c r="R98" s="163"/>
      <c r="S98" s="151">
        <f>SUM(Q95:Q98)</f>
        <v>354927.65</v>
      </c>
      <c r="T98" s="68">
        <f t="shared" si="63"/>
        <v>80850</v>
      </c>
    </row>
    <row r="99" ht="13.5" customHeight="1">
      <c r="A99" s="272"/>
      <c r="B99" s="273"/>
      <c r="C99" s="273"/>
      <c r="D99" s="273"/>
      <c r="E99" s="274">
        <f t="shared" ref="E99:F99" si="68">SUM(E4:E52,E54:E98)</f>
        <v>20322223.32</v>
      </c>
      <c r="F99" s="274">
        <f t="shared" si="68"/>
        <v>8218356.615</v>
      </c>
      <c r="G99" s="275"/>
      <c r="H99" s="276"/>
      <c r="I99" s="276"/>
      <c r="J99" s="277">
        <f>SUM(J4:J52,J54:J98)</f>
        <v>3193428</v>
      </c>
      <c r="K99" s="278"/>
      <c r="L99" s="277"/>
      <c r="M99" s="277">
        <f>SUM(M4:M52,M54:M98)</f>
        <v>125611.6</v>
      </c>
      <c r="N99" s="278"/>
      <c r="O99" s="277"/>
      <c r="P99" s="277">
        <f t="shared" ref="P99:Q99" si="69">SUM(P4:P52,P54:P98)</f>
        <v>777635</v>
      </c>
      <c r="Q99" s="277">
        <f t="shared" si="69"/>
        <v>12088664.44</v>
      </c>
      <c r="R99" s="279"/>
      <c r="S99" s="280">
        <f>SUM(S5:S52,S54:S98)</f>
        <v>11487385.44</v>
      </c>
      <c r="T99" s="281">
        <f>SUM(T4:T98)</f>
        <v>13063376.14</v>
      </c>
      <c r="U99" s="282">
        <v>1.308807785E7</v>
      </c>
      <c r="V99" s="283">
        <f>T99-U99</f>
        <v>-24701.7085</v>
      </c>
    </row>
    <row r="100" ht="12.75" customHeight="1">
      <c r="A100" s="284"/>
      <c r="B100" s="284"/>
      <c r="C100" s="284"/>
      <c r="D100" s="285"/>
      <c r="E100" s="286"/>
      <c r="F100" s="287"/>
      <c r="G100" s="288"/>
      <c r="H100" s="284"/>
      <c r="I100" s="284"/>
      <c r="J100" s="289"/>
      <c r="K100" s="288"/>
      <c r="L100" s="284"/>
      <c r="M100" s="289"/>
      <c r="N100" s="288"/>
      <c r="O100" s="284"/>
      <c r="P100" s="289"/>
      <c r="Q100" s="284"/>
      <c r="R100" s="284"/>
      <c r="S100" s="290" t="s">
        <v>181</v>
      </c>
      <c r="T100" s="281"/>
    </row>
    <row r="101" ht="12.75" customHeight="1">
      <c r="A101" s="284"/>
      <c r="B101" s="284"/>
      <c r="C101" s="284"/>
      <c r="D101" s="285"/>
      <c r="E101" s="286"/>
      <c r="F101" s="287"/>
      <c r="G101" s="288"/>
      <c r="H101" s="284"/>
      <c r="I101" s="284"/>
      <c r="J101" s="289"/>
      <c r="K101" s="288"/>
      <c r="L101" s="284"/>
      <c r="M101" s="289"/>
      <c r="N101" s="288"/>
      <c r="O101" s="284"/>
      <c r="P101" s="289"/>
      <c r="Q101" s="284"/>
      <c r="R101" s="284"/>
      <c r="S101" s="291"/>
      <c r="T101" s="292"/>
    </row>
    <row r="102" ht="12.75" customHeight="1">
      <c r="D102" s="293"/>
      <c r="E102" s="107"/>
      <c r="F102" s="294"/>
      <c r="G102" s="295"/>
      <c r="J102" s="296"/>
      <c r="K102" s="295"/>
      <c r="M102" s="296"/>
      <c r="N102" s="295"/>
      <c r="P102" s="296"/>
      <c r="T102" s="292"/>
    </row>
    <row r="103" ht="12.75" customHeight="1">
      <c r="D103" s="293"/>
      <c r="E103" s="107"/>
      <c r="F103" s="294"/>
      <c r="G103" s="295"/>
      <c r="J103" s="296"/>
      <c r="K103" s="295"/>
      <c r="M103" s="296"/>
      <c r="N103" s="295"/>
      <c r="P103" s="296"/>
      <c r="S103" s="297"/>
      <c r="T103" s="292"/>
    </row>
    <row r="104" ht="12.75" customHeight="1">
      <c r="D104" s="293"/>
      <c r="E104" s="107"/>
      <c r="F104" s="294"/>
      <c r="G104" s="295"/>
      <c r="J104" s="296"/>
      <c r="K104" s="295"/>
      <c r="M104" s="296"/>
      <c r="N104" s="295"/>
      <c r="P104" s="296"/>
      <c r="T104" s="292"/>
      <c r="U104" s="298"/>
    </row>
    <row r="105" ht="12.75" customHeight="1">
      <c r="D105" s="293"/>
      <c r="E105" s="107"/>
      <c r="F105" s="294"/>
      <c r="G105" s="295"/>
      <c r="J105" s="296"/>
      <c r="K105" s="295"/>
      <c r="M105" s="296"/>
      <c r="N105" s="295"/>
      <c r="P105" s="296"/>
      <c r="T105" s="292"/>
    </row>
    <row r="106" ht="12.75" customHeight="1">
      <c r="D106" s="293"/>
      <c r="E106" s="107"/>
      <c r="F106" s="294"/>
      <c r="G106" s="295"/>
      <c r="J106" s="296"/>
      <c r="K106" s="295"/>
      <c r="M106" s="296"/>
      <c r="N106" s="295"/>
      <c r="P106" s="296"/>
      <c r="T106" s="292"/>
    </row>
    <row r="107" ht="12.75" customHeight="1">
      <c r="D107" s="293"/>
      <c r="E107" s="107"/>
      <c r="F107" s="294"/>
      <c r="G107" s="295"/>
      <c r="J107" s="296"/>
      <c r="K107" s="295"/>
      <c r="M107" s="296"/>
      <c r="N107" s="295"/>
      <c r="P107" s="296"/>
      <c r="T107" s="292"/>
    </row>
    <row r="108" ht="12.75" customHeight="1">
      <c r="D108" s="293"/>
      <c r="E108" s="107"/>
      <c r="F108" s="294"/>
      <c r="G108" s="295"/>
      <c r="J108" s="296"/>
      <c r="K108" s="295"/>
      <c r="M108" s="296"/>
      <c r="N108" s="295"/>
      <c r="P108" s="296"/>
      <c r="T108" s="292"/>
    </row>
    <row r="109" ht="12.75" customHeight="1">
      <c r="D109" s="293"/>
      <c r="E109" s="107"/>
      <c r="F109" s="294"/>
      <c r="G109" s="295"/>
      <c r="J109" s="296"/>
      <c r="K109" s="295"/>
      <c r="M109" s="296"/>
      <c r="N109" s="295"/>
      <c r="P109" s="296"/>
      <c r="T109" s="292"/>
    </row>
    <row r="110" ht="12.75" customHeight="1">
      <c r="D110" s="293"/>
      <c r="E110" s="107"/>
      <c r="F110" s="294"/>
      <c r="G110" s="295"/>
      <c r="J110" s="296"/>
      <c r="K110" s="295"/>
      <c r="M110" s="296"/>
      <c r="N110" s="295"/>
      <c r="P110" s="296"/>
      <c r="T110" s="292"/>
    </row>
    <row r="111" ht="12.75" customHeight="1">
      <c r="D111" s="293"/>
      <c r="E111" s="107"/>
      <c r="F111" s="294"/>
      <c r="G111" s="295"/>
      <c r="J111" s="296"/>
      <c r="K111" s="295"/>
      <c r="M111" s="296"/>
      <c r="N111" s="295"/>
      <c r="P111" s="296"/>
      <c r="T111" s="292"/>
    </row>
    <row r="112" ht="12.75" customHeight="1">
      <c r="D112" s="293"/>
      <c r="E112" s="107"/>
      <c r="F112" s="294"/>
      <c r="G112" s="295"/>
      <c r="J112" s="296"/>
      <c r="K112" s="295"/>
      <c r="M112" s="296"/>
      <c r="N112" s="295"/>
      <c r="P112" s="296"/>
      <c r="T112" s="292"/>
    </row>
    <row r="113" ht="12.75" customHeight="1">
      <c r="D113" s="293"/>
      <c r="E113" s="107"/>
      <c r="F113" s="294"/>
      <c r="G113" s="295"/>
      <c r="J113" s="296"/>
      <c r="K113" s="295"/>
      <c r="M113" s="296"/>
      <c r="N113" s="295"/>
      <c r="P113" s="296"/>
      <c r="T113" s="292"/>
    </row>
    <row r="114" ht="12.75" customHeight="1">
      <c r="D114" s="293"/>
      <c r="E114" s="107"/>
      <c r="F114" s="294"/>
      <c r="G114" s="295"/>
      <c r="J114" s="296"/>
      <c r="K114" s="295"/>
      <c r="M114" s="296"/>
      <c r="N114" s="295"/>
      <c r="P114" s="296"/>
      <c r="T114" s="292"/>
    </row>
    <row r="115" ht="12.75" customHeight="1">
      <c r="D115" s="293"/>
      <c r="E115" s="107"/>
      <c r="F115" s="294"/>
      <c r="G115" s="295"/>
      <c r="J115" s="296"/>
      <c r="K115" s="295"/>
      <c r="M115" s="296"/>
      <c r="N115" s="295"/>
      <c r="P115" s="296"/>
      <c r="T115" s="292"/>
    </row>
    <row r="116" ht="12.75" customHeight="1">
      <c r="D116" s="293"/>
      <c r="E116" s="107"/>
      <c r="F116" s="294"/>
      <c r="G116" s="295"/>
      <c r="J116" s="296"/>
      <c r="K116" s="295"/>
      <c r="M116" s="296"/>
      <c r="N116" s="295"/>
      <c r="P116" s="296"/>
      <c r="T116" s="292"/>
    </row>
    <row r="117" ht="12.75" customHeight="1">
      <c r="D117" s="293"/>
      <c r="E117" s="107"/>
      <c r="F117" s="294"/>
      <c r="G117" s="295"/>
      <c r="J117" s="296"/>
      <c r="K117" s="295"/>
      <c r="M117" s="296"/>
      <c r="N117" s="295"/>
      <c r="P117" s="296"/>
      <c r="T117" s="292"/>
    </row>
    <row r="118" ht="12.75" customHeight="1">
      <c r="D118" s="293"/>
      <c r="E118" s="107"/>
      <c r="F118" s="294"/>
      <c r="G118" s="295"/>
      <c r="J118" s="296"/>
      <c r="K118" s="295"/>
      <c r="M118" s="296"/>
      <c r="N118" s="295"/>
      <c r="P118" s="296"/>
      <c r="T118" s="292"/>
    </row>
    <row r="119" ht="12.75" customHeight="1">
      <c r="D119" s="293"/>
      <c r="E119" s="107"/>
      <c r="F119" s="294"/>
      <c r="G119" s="295"/>
      <c r="J119" s="296"/>
      <c r="K119" s="295"/>
      <c r="M119" s="296"/>
      <c r="N119" s="295"/>
      <c r="P119" s="296"/>
      <c r="T119" s="292"/>
    </row>
    <row r="120" ht="12.75" customHeight="1">
      <c r="D120" s="293"/>
      <c r="E120" s="107"/>
      <c r="F120" s="294"/>
      <c r="G120" s="295"/>
      <c r="J120" s="296"/>
      <c r="K120" s="295"/>
      <c r="M120" s="296"/>
      <c r="N120" s="295"/>
      <c r="P120" s="296"/>
      <c r="T120" s="292"/>
    </row>
    <row r="121" ht="12.75" customHeight="1">
      <c r="D121" s="293"/>
      <c r="E121" s="107"/>
      <c r="F121" s="294"/>
      <c r="G121" s="295"/>
      <c r="J121" s="296"/>
      <c r="K121" s="295"/>
      <c r="M121" s="296"/>
      <c r="N121" s="295"/>
      <c r="P121" s="296"/>
      <c r="T121" s="292"/>
    </row>
    <row r="122" ht="12.75" customHeight="1">
      <c r="D122" s="293"/>
      <c r="E122" s="107"/>
      <c r="F122" s="294"/>
      <c r="G122" s="295"/>
      <c r="J122" s="296"/>
      <c r="K122" s="295"/>
      <c r="M122" s="296"/>
      <c r="N122" s="295"/>
      <c r="P122" s="296"/>
      <c r="T122" s="292"/>
    </row>
    <row r="123" ht="12.75" customHeight="1">
      <c r="D123" s="293"/>
      <c r="E123" s="107"/>
      <c r="F123" s="294"/>
      <c r="G123" s="295"/>
      <c r="J123" s="296"/>
      <c r="K123" s="295"/>
      <c r="M123" s="296"/>
      <c r="N123" s="295"/>
      <c r="P123" s="296"/>
      <c r="T123" s="292"/>
    </row>
    <row r="124" ht="12.75" customHeight="1">
      <c r="D124" s="293"/>
      <c r="E124" s="107"/>
      <c r="F124" s="294"/>
      <c r="G124" s="295"/>
      <c r="J124" s="296"/>
      <c r="K124" s="295"/>
      <c r="M124" s="296"/>
      <c r="N124" s="295"/>
      <c r="P124" s="296"/>
      <c r="T124" s="292"/>
    </row>
    <row r="125" ht="12.75" customHeight="1">
      <c r="D125" s="293"/>
      <c r="E125" s="107"/>
      <c r="F125" s="294"/>
      <c r="G125" s="295"/>
      <c r="J125" s="296"/>
      <c r="K125" s="295"/>
      <c r="M125" s="296"/>
      <c r="N125" s="295"/>
      <c r="P125" s="296"/>
      <c r="T125" s="292"/>
    </row>
    <row r="126" ht="12.75" customHeight="1">
      <c r="D126" s="293"/>
      <c r="E126" s="107"/>
      <c r="F126" s="294"/>
      <c r="G126" s="295"/>
      <c r="J126" s="296"/>
      <c r="K126" s="295"/>
      <c r="M126" s="296"/>
      <c r="N126" s="295"/>
      <c r="P126" s="296"/>
      <c r="T126" s="292"/>
    </row>
    <row r="127" ht="12.75" customHeight="1">
      <c r="D127" s="293"/>
      <c r="E127" s="107"/>
      <c r="F127" s="294"/>
      <c r="G127" s="295"/>
      <c r="J127" s="296"/>
      <c r="K127" s="295"/>
      <c r="M127" s="296"/>
      <c r="N127" s="295"/>
      <c r="P127" s="296"/>
      <c r="T127" s="292"/>
    </row>
    <row r="128" ht="12.75" customHeight="1">
      <c r="D128" s="293"/>
      <c r="E128" s="107"/>
      <c r="F128" s="294"/>
      <c r="G128" s="295"/>
      <c r="J128" s="296"/>
      <c r="K128" s="295"/>
      <c r="M128" s="296"/>
      <c r="N128" s="295"/>
      <c r="P128" s="296"/>
      <c r="T128" s="292"/>
    </row>
    <row r="129" ht="12.75" customHeight="1">
      <c r="D129" s="293"/>
      <c r="E129" s="107"/>
      <c r="F129" s="294"/>
      <c r="G129" s="295"/>
      <c r="J129" s="296"/>
      <c r="K129" s="295"/>
      <c r="M129" s="296"/>
      <c r="N129" s="295"/>
      <c r="P129" s="296"/>
      <c r="T129" s="292"/>
    </row>
    <row r="130" ht="12.75" customHeight="1">
      <c r="D130" s="293"/>
      <c r="E130" s="107"/>
      <c r="F130" s="294"/>
      <c r="G130" s="295"/>
      <c r="J130" s="296"/>
      <c r="K130" s="295"/>
      <c r="M130" s="296"/>
      <c r="N130" s="295"/>
      <c r="P130" s="296"/>
      <c r="T130" s="292"/>
    </row>
    <row r="131" ht="12.75" customHeight="1">
      <c r="D131" s="293"/>
      <c r="E131" s="107"/>
      <c r="F131" s="294"/>
      <c r="G131" s="295"/>
      <c r="J131" s="296"/>
      <c r="K131" s="295"/>
      <c r="M131" s="296"/>
      <c r="N131" s="295"/>
      <c r="P131" s="296"/>
      <c r="T131" s="292"/>
    </row>
    <row r="132" ht="12.75" customHeight="1">
      <c r="D132" s="293"/>
      <c r="E132" s="107"/>
      <c r="F132" s="294"/>
      <c r="G132" s="295"/>
      <c r="J132" s="296"/>
      <c r="K132" s="295"/>
      <c r="M132" s="296"/>
      <c r="N132" s="295"/>
      <c r="P132" s="296"/>
      <c r="T132" s="292"/>
    </row>
    <row r="133" ht="12.75" customHeight="1">
      <c r="D133" s="293"/>
      <c r="E133" s="107"/>
      <c r="F133" s="294"/>
      <c r="G133" s="295"/>
      <c r="J133" s="296"/>
      <c r="K133" s="295"/>
      <c r="M133" s="296"/>
      <c r="N133" s="295"/>
      <c r="P133" s="296"/>
      <c r="T133" s="292"/>
    </row>
    <row r="134" ht="12.75" customHeight="1">
      <c r="D134" s="293"/>
      <c r="E134" s="107"/>
      <c r="F134" s="294"/>
      <c r="G134" s="295"/>
      <c r="J134" s="296"/>
      <c r="K134" s="295"/>
      <c r="M134" s="296"/>
      <c r="N134" s="295"/>
      <c r="P134" s="296"/>
      <c r="T134" s="292"/>
    </row>
    <row r="135" ht="12.75" customHeight="1">
      <c r="D135" s="293"/>
      <c r="E135" s="107"/>
      <c r="F135" s="294"/>
      <c r="G135" s="295"/>
      <c r="J135" s="296"/>
      <c r="K135" s="295"/>
      <c r="M135" s="296"/>
      <c r="N135" s="295"/>
      <c r="P135" s="296"/>
      <c r="T135" s="292"/>
    </row>
    <row r="136" ht="12.75" customHeight="1">
      <c r="D136" s="293"/>
      <c r="E136" s="107"/>
      <c r="F136" s="294"/>
      <c r="G136" s="295"/>
      <c r="J136" s="296"/>
      <c r="K136" s="295"/>
      <c r="M136" s="296"/>
      <c r="N136" s="295"/>
      <c r="P136" s="296"/>
      <c r="T136" s="292"/>
    </row>
    <row r="137" ht="12.75" customHeight="1">
      <c r="D137" s="293"/>
      <c r="E137" s="107"/>
      <c r="F137" s="294"/>
      <c r="G137" s="295"/>
      <c r="J137" s="296"/>
      <c r="K137" s="295"/>
      <c r="M137" s="296"/>
      <c r="N137" s="295"/>
      <c r="P137" s="296"/>
      <c r="T137" s="292"/>
    </row>
    <row r="138" ht="12.75" customHeight="1">
      <c r="D138" s="293"/>
      <c r="E138" s="107"/>
      <c r="F138" s="294"/>
      <c r="G138" s="295"/>
      <c r="J138" s="296"/>
      <c r="K138" s="295"/>
      <c r="M138" s="296"/>
      <c r="N138" s="295"/>
      <c r="P138" s="296"/>
      <c r="T138" s="292"/>
    </row>
    <row r="139" ht="12.75" customHeight="1">
      <c r="D139" s="293"/>
      <c r="E139" s="107"/>
      <c r="F139" s="294"/>
      <c r="G139" s="295"/>
      <c r="J139" s="296"/>
      <c r="K139" s="295"/>
      <c r="M139" s="296"/>
      <c r="N139" s="295"/>
      <c r="P139" s="296"/>
      <c r="T139" s="292"/>
    </row>
    <row r="140" ht="12.75" customHeight="1">
      <c r="D140" s="293"/>
      <c r="E140" s="107"/>
      <c r="F140" s="294"/>
      <c r="G140" s="295"/>
      <c r="J140" s="296"/>
      <c r="K140" s="295"/>
      <c r="M140" s="296"/>
      <c r="N140" s="295"/>
      <c r="P140" s="296"/>
      <c r="T140" s="292"/>
    </row>
    <row r="141" ht="12.75" customHeight="1">
      <c r="D141" s="293"/>
      <c r="E141" s="107"/>
      <c r="F141" s="294"/>
      <c r="G141" s="295"/>
      <c r="J141" s="296"/>
      <c r="K141" s="295"/>
      <c r="M141" s="296"/>
      <c r="N141" s="295"/>
      <c r="P141" s="296"/>
      <c r="T141" s="292"/>
    </row>
    <row r="142" ht="12.75" customHeight="1">
      <c r="D142" s="293"/>
      <c r="E142" s="107"/>
      <c r="F142" s="294"/>
      <c r="G142" s="295"/>
      <c r="J142" s="296"/>
      <c r="K142" s="295"/>
      <c r="M142" s="296"/>
      <c r="N142" s="295"/>
      <c r="P142" s="296"/>
      <c r="T142" s="292"/>
    </row>
    <row r="143" ht="12.75" customHeight="1">
      <c r="D143" s="293"/>
      <c r="E143" s="107"/>
      <c r="F143" s="294"/>
      <c r="G143" s="295"/>
      <c r="J143" s="296"/>
      <c r="K143" s="295"/>
      <c r="M143" s="296"/>
      <c r="N143" s="295"/>
      <c r="P143" s="296"/>
      <c r="T143" s="292"/>
    </row>
    <row r="144" ht="12.75" customHeight="1">
      <c r="D144" s="293"/>
      <c r="E144" s="107"/>
      <c r="F144" s="294"/>
      <c r="G144" s="295"/>
      <c r="J144" s="296"/>
      <c r="K144" s="295"/>
      <c r="M144" s="296"/>
      <c r="N144" s="295"/>
      <c r="P144" s="296"/>
      <c r="T144" s="292"/>
    </row>
    <row r="145" ht="12.75" customHeight="1">
      <c r="D145" s="293"/>
      <c r="E145" s="107"/>
      <c r="F145" s="294"/>
      <c r="G145" s="295"/>
      <c r="J145" s="296"/>
      <c r="K145" s="295"/>
      <c r="M145" s="296"/>
      <c r="N145" s="295"/>
      <c r="P145" s="296"/>
      <c r="T145" s="292"/>
    </row>
    <row r="146" ht="12.75" customHeight="1">
      <c r="D146" s="293"/>
      <c r="E146" s="107"/>
      <c r="F146" s="294"/>
      <c r="G146" s="295"/>
      <c r="J146" s="296"/>
      <c r="K146" s="295"/>
      <c r="M146" s="296"/>
      <c r="N146" s="295"/>
      <c r="P146" s="296"/>
      <c r="T146" s="292"/>
    </row>
    <row r="147" ht="12.75" customHeight="1">
      <c r="D147" s="293"/>
      <c r="E147" s="107"/>
      <c r="F147" s="294"/>
      <c r="G147" s="295"/>
      <c r="J147" s="296"/>
      <c r="K147" s="295"/>
      <c r="M147" s="296"/>
      <c r="N147" s="295"/>
      <c r="P147" s="296"/>
      <c r="T147" s="292"/>
    </row>
    <row r="148" ht="12.75" customHeight="1">
      <c r="D148" s="293"/>
      <c r="E148" s="107"/>
      <c r="F148" s="294"/>
      <c r="G148" s="295"/>
      <c r="J148" s="296"/>
      <c r="K148" s="295"/>
      <c r="M148" s="296"/>
      <c r="N148" s="295"/>
      <c r="P148" s="296"/>
      <c r="T148" s="292"/>
    </row>
    <row r="149" ht="12.75" customHeight="1">
      <c r="D149" s="293"/>
      <c r="E149" s="107"/>
      <c r="F149" s="294"/>
      <c r="G149" s="295"/>
      <c r="J149" s="296"/>
      <c r="K149" s="295"/>
      <c r="M149" s="296"/>
      <c r="N149" s="295"/>
      <c r="P149" s="296"/>
      <c r="T149" s="292"/>
    </row>
    <row r="150" ht="12.75" customHeight="1">
      <c r="D150" s="293"/>
      <c r="E150" s="107"/>
      <c r="F150" s="294"/>
      <c r="G150" s="295"/>
      <c r="J150" s="296"/>
      <c r="K150" s="295"/>
      <c r="M150" s="296"/>
      <c r="N150" s="295"/>
      <c r="P150" s="296"/>
      <c r="T150" s="292"/>
    </row>
    <row r="151" ht="12.75" customHeight="1">
      <c r="D151" s="293"/>
      <c r="E151" s="107"/>
      <c r="F151" s="294"/>
      <c r="G151" s="295"/>
      <c r="J151" s="296"/>
      <c r="K151" s="295"/>
      <c r="M151" s="296"/>
      <c r="N151" s="295"/>
      <c r="P151" s="296"/>
      <c r="T151" s="292"/>
    </row>
    <row r="152" ht="12.75" customHeight="1">
      <c r="D152" s="293"/>
      <c r="E152" s="107"/>
      <c r="F152" s="294"/>
      <c r="G152" s="295"/>
      <c r="J152" s="296"/>
      <c r="K152" s="295"/>
      <c r="M152" s="296"/>
      <c r="N152" s="295"/>
      <c r="P152" s="296"/>
      <c r="T152" s="292"/>
    </row>
    <row r="153" ht="12.75" customHeight="1">
      <c r="D153" s="293"/>
      <c r="E153" s="107"/>
      <c r="F153" s="294"/>
      <c r="G153" s="295"/>
      <c r="J153" s="296"/>
      <c r="K153" s="295"/>
      <c r="M153" s="296"/>
      <c r="N153" s="295"/>
      <c r="P153" s="296"/>
      <c r="T153" s="292"/>
    </row>
    <row r="154" ht="12.75" customHeight="1">
      <c r="D154" s="293"/>
      <c r="E154" s="107"/>
      <c r="F154" s="294"/>
      <c r="G154" s="295"/>
      <c r="J154" s="296"/>
      <c r="K154" s="295"/>
      <c r="M154" s="296"/>
      <c r="N154" s="295"/>
      <c r="P154" s="296"/>
      <c r="T154" s="292"/>
    </row>
    <row r="155" ht="12.75" customHeight="1">
      <c r="D155" s="293"/>
      <c r="E155" s="107"/>
      <c r="F155" s="294"/>
      <c r="G155" s="295"/>
      <c r="J155" s="296"/>
      <c r="K155" s="295"/>
      <c r="M155" s="296"/>
      <c r="N155" s="295"/>
      <c r="P155" s="296"/>
      <c r="T155" s="292"/>
    </row>
    <row r="156" ht="12.75" customHeight="1">
      <c r="D156" s="293"/>
      <c r="E156" s="107"/>
      <c r="F156" s="294"/>
      <c r="G156" s="295"/>
      <c r="J156" s="296"/>
      <c r="K156" s="295"/>
      <c r="M156" s="296"/>
      <c r="N156" s="295"/>
      <c r="P156" s="296"/>
      <c r="T156" s="292"/>
    </row>
    <row r="157" ht="12.75" customHeight="1">
      <c r="D157" s="293"/>
      <c r="E157" s="107"/>
      <c r="F157" s="294"/>
      <c r="G157" s="295"/>
      <c r="J157" s="296"/>
      <c r="K157" s="295"/>
      <c r="M157" s="296"/>
      <c r="N157" s="295"/>
      <c r="P157" s="296"/>
      <c r="T157" s="292"/>
    </row>
    <row r="158" ht="12.75" customHeight="1">
      <c r="D158" s="293"/>
      <c r="E158" s="107"/>
      <c r="F158" s="294"/>
      <c r="G158" s="295"/>
      <c r="J158" s="296"/>
      <c r="K158" s="295"/>
      <c r="M158" s="296"/>
      <c r="N158" s="295"/>
      <c r="P158" s="296"/>
      <c r="T158" s="292"/>
    </row>
    <row r="159" ht="12.75" customHeight="1">
      <c r="D159" s="293"/>
      <c r="E159" s="107"/>
      <c r="F159" s="294"/>
      <c r="G159" s="295"/>
      <c r="J159" s="296"/>
      <c r="K159" s="295"/>
      <c r="M159" s="296"/>
      <c r="N159" s="295"/>
      <c r="P159" s="296"/>
      <c r="T159" s="292"/>
    </row>
    <row r="160" ht="12.75" customHeight="1">
      <c r="D160" s="293"/>
      <c r="E160" s="107"/>
      <c r="F160" s="294"/>
      <c r="G160" s="295"/>
      <c r="J160" s="296"/>
      <c r="K160" s="295"/>
      <c r="M160" s="296"/>
      <c r="N160" s="295"/>
      <c r="P160" s="296"/>
      <c r="T160" s="292"/>
    </row>
    <row r="161" ht="12.75" customHeight="1">
      <c r="D161" s="293"/>
      <c r="E161" s="107"/>
      <c r="F161" s="294"/>
      <c r="G161" s="295"/>
      <c r="J161" s="296"/>
      <c r="K161" s="295"/>
      <c r="M161" s="296"/>
      <c r="N161" s="295"/>
      <c r="P161" s="296"/>
      <c r="T161" s="292"/>
    </row>
    <row r="162" ht="12.75" customHeight="1">
      <c r="D162" s="293"/>
      <c r="E162" s="107"/>
      <c r="F162" s="294"/>
      <c r="G162" s="295"/>
      <c r="J162" s="296"/>
      <c r="K162" s="295"/>
      <c r="M162" s="296"/>
      <c r="N162" s="295"/>
      <c r="P162" s="296"/>
      <c r="T162" s="292"/>
    </row>
    <row r="163" ht="12.75" customHeight="1">
      <c r="D163" s="293"/>
      <c r="E163" s="107"/>
      <c r="F163" s="294"/>
      <c r="G163" s="295"/>
      <c r="J163" s="296"/>
      <c r="K163" s="295"/>
      <c r="M163" s="296"/>
      <c r="N163" s="295"/>
      <c r="P163" s="296"/>
      <c r="T163" s="292"/>
    </row>
    <row r="164" ht="12.75" customHeight="1">
      <c r="D164" s="293"/>
      <c r="E164" s="107"/>
      <c r="F164" s="294"/>
      <c r="G164" s="295"/>
      <c r="J164" s="296"/>
      <c r="K164" s="295"/>
      <c r="M164" s="296"/>
      <c r="N164" s="295"/>
      <c r="P164" s="296"/>
      <c r="T164" s="292"/>
    </row>
    <row r="165" ht="12.75" customHeight="1">
      <c r="D165" s="293"/>
      <c r="E165" s="107"/>
      <c r="F165" s="294"/>
      <c r="G165" s="295"/>
      <c r="J165" s="296"/>
      <c r="K165" s="295"/>
      <c r="M165" s="296"/>
      <c r="N165" s="295"/>
      <c r="P165" s="296"/>
      <c r="T165" s="292"/>
    </row>
    <row r="166" ht="12.75" customHeight="1">
      <c r="D166" s="293"/>
      <c r="E166" s="107"/>
      <c r="F166" s="294"/>
      <c r="G166" s="295"/>
      <c r="J166" s="296"/>
      <c r="K166" s="295"/>
      <c r="M166" s="296"/>
      <c r="N166" s="295"/>
      <c r="P166" s="296"/>
      <c r="T166" s="292"/>
    </row>
    <row r="167" ht="12.75" customHeight="1">
      <c r="D167" s="293"/>
      <c r="E167" s="107"/>
      <c r="F167" s="294"/>
      <c r="G167" s="295"/>
      <c r="J167" s="296"/>
      <c r="K167" s="295"/>
      <c r="M167" s="296"/>
      <c r="N167" s="295"/>
      <c r="P167" s="296"/>
      <c r="T167" s="292"/>
    </row>
    <row r="168" ht="12.75" customHeight="1">
      <c r="D168" s="293"/>
      <c r="E168" s="107"/>
      <c r="F168" s="294"/>
      <c r="G168" s="295"/>
      <c r="J168" s="296"/>
      <c r="K168" s="295"/>
      <c r="M168" s="296"/>
      <c r="N168" s="295"/>
      <c r="P168" s="296"/>
      <c r="T168" s="292"/>
    </row>
    <row r="169" ht="12.75" customHeight="1">
      <c r="D169" s="293"/>
      <c r="E169" s="107"/>
      <c r="F169" s="294"/>
      <c r="G169" s="295"/>
      <c r="J169" s="296"/>
      <c r="K169" s="295"/>
      <c r="M169" s="296"/>
      <c r="N169" s="295"/>
      <c r="P169" s="296"/>
      <c r="T169" s="292"/>
    </row>
    <row r="170" ht="12.75" customHeight="1">
      <c r="D170" s="293"/>
      <c r="E170" s="107"/>
      <c r="F170" s="294"/>
      <c r="G170" s="295"/>
      <c r="J170" s="296"/>
      <c r="K170" s="295"/>
      <c r="M170" s="296"/>
      <c r="N170" s="295"/>
      <c r="P170" s="296"/>
      <c r="T170" s="292"/>
    </row>
    <row r="171" ht="12.75" customHeight="1">
      <c r="D171" s="293"/>
      <c r="E171" s="107"/>
      <c r="F171" s="294"/>
      <c r="G171" s="295"/>
      <c r="J171" s="296"/>
      <c r="K171" s="295"/>
      <c r="M171" s="296"/>
      <c r="N171" s="295"/>
      <c r="P171" s="296"/>
      <c r="T171" s="292"/>
    </row>
    <row r="172" ht="12.75" customHeight="1">
      <c r="D172" s="293"/>
      <c r="E172" s="107"/>
      <c r="F172" s="294"/>
      <c r="G172" s="295"/>
      <c r="J172" s="296"/>
      <c r="K172" s="295"/>
      <c r="M172" s="296"/>
      <c r="N172" s="295"/>
      <c r="P172" s="296"/>
      <c r="T172" s="292"/>
    </row>
    <row r="173" ht="12.75" customHeight="1">
      <c r="D173" s="293"/>
      <c r="E173" s="107"/>
      <c r="F173" s="294"/>
      <c r="G173" s="295"/>
      <c r="J173" s="296"/>
      <c r="K173" s="295"/>
      <c r="M173" s="296"/>
      <c r="N173" s="295"/>
      <c r="P173" s="296"/>
      <c r="T173" s="292"/>
    </row>
    <row r="174" ht="12.75" customHeight="1">
      <c r="D174" s="293"/>
      <c r="E174" s="107"/>
      <c r="F174" s="294"/>
      <c r="G174" s="295"/>
      <c r="J174" s="296"/>
      <c r="K174" s="295"/>
      <c r="M174" s="296"/>
      <c r="N174" s="295"/>
      <c r="P174" s="296"/>
      <c r="T174" s="292"/>
    </row>
    <row r="175" ht="12.75" customHeight="1">
      <c r="D175" s="293"/>
      <c r="E175" s="107"/>
      <c r="F175" s="294"/>
      <c r="G175" s="295"/>
      <c r="J175" s="296"/>
      <c r="K175" s="295"/>
      <c r="M175" s="296"/>
      <c r="N175" s="295"/>
      <c r="P175" s="296"/>
      <c r="T175" s="292"/>
    </row>
    <row r="176" ht="12.75" customHeight="1">
      <c r="D176" s="293"/>
      <c r="E176" s="107"/>
      <c r="F176" s="294"/>
      <c r="G176" s="295"/>
      <c r="J176" s="296"/>
      <c r="K176" s="295"/>
      <c r="M176" s="296"/>
      <c r="N176" s="295"/>
      <c r="P176" s="296"/>
      <c r="T176" s="292"/>
    </row>
    <row r="177" ht="12.75" customHeight="1">
      <c r="D177" s="293"/>
      <c r="E177" s="107"/>
      <c r="F177" s="294"/>
      <c r="G177" s="295"/>
      <c r="J177" s="296"/>
      <c r="K177" s="295"/>
      <c r="M177" s="296"/>
      <c r="N177" s="295"/>
      <c r="P177" s="296"/>
      <c r="T177" s="292"/>
    </row>
    <row r="178" ht="12.75" customHeight="1">
      <c r="D178" s="293"/>
      <c r="E178" s="107"/>
      <c r="F178" s="294"/>
      <c r="G178" s="295"/>
      <c r="J178" s="296"/>
      <c r="K178" s="295"/>
      <c r="M178" s="296"/>
      <c r="N178" s="295"/>
      <c r="P178" s="296"/>
      <c r="T178" s="292"/>
    </row>
    <row r="179" ht="12.75" customHeight="1">
      <c r="D179" s="293"/>
      <c r="E179" s="107"/>
      <c r="F179" s="294"/>
      <c r="G179" s="295"/>
      <c r="J179" s="296"/>
      <c r="K179" s="295"/>
      <c r="M179" s="296"/>
      <c r="N179" s="295"/>
      <c r="P179" s="296"/>
      <c r="T179" s="292"/>
    </row>
    <row r="180" ht="12.75" customHeight="1">
      <c r="D180" s="293"/>
      <c r="E180" s="107"/>
      <c r="F180" s="294"/>
      <c r="G180" s="295"/>
      <c r="J180" s="296"/>
      <c r="K180" s="295"/>
      <c r="M180" s="296"/>
      <c r="N180" s="295"/>
      <c r="P180" s="296"/>
      <c r="T180" s="292"/>
    </row>
    <row r="181" ht="12.75" customHeight="1">
      <c r="D181" s="293"/>
      <c r="E181" s="107"/>
      <c r="F181" s="294"/>
      <c r="G181" s="295"/>
      <c r="J181" s="296"/>
      <c r="K181" s="295"/>
      <c r="M181" s="296"/>
      <c r="N181" s="295"/>
      <c r="P181" s="296"/>
      <c r="T181" s="292"/>
    </row>
    <row r="182" ht="12.75" customHeight="1">
      <c r="D182" s="293"/>
      <c r="E182" s="107"/>
      <c r="F182" s="294"/>
      <c r="G182" s="295"/>
      <c r="J182" s="296"/>
      <c r="K182" s="295"/>
      <c r="M182" s="296"/>
      <c r="N182" s="295"/>
      <c r="P182" s="296"/>
      <c r="T182" s="292"/>
    </row>
    <row r="183" ht="12.75" customHeight="1">
      <c r="D183" s="293"/>
      <c r="E183" s="107"/>
      <c r="F183" s="294"/>
      <c r="G183" s="295"/>
      <c r="J183" s="296"/>
      <c r="K183" s="295"/>
      <c r="M183" s="296"/>
      <c r="N183" s="295"/>
      <c r="P183" s="296"/>
      <c r="T183" s="292"/>
    </row>
    <row r="184" ht="12.75" customHeight="1">
      <c r="D184" s="293"/>
      <c r="E184" s="107"/>
      <c r="F184" s="294"/>
      <c r="G184" s="295"/>
      <c r="J184" s="296"/>
      <c r="K184" s="295"/>
      <c r="M184" s="296"/>
      <c r="N184" s="295"/>
      <c r="P184" s="296"/>
      <c r="T184" s="292"/>
    </row>
    <row r="185" ht="12.75" customHeight="1">
      <c r="D185" s="293"/>
      <c r="E185" s="107"/>
      <c r="F185" s="294"/>
      <c r="G185" s="295"/>
      <c r="J185" s="296"/>
      <c r="K185" s="295"/>
      <c r="M185" s="296"/>
      <c r="N185" s="295"/>
      <c r="P185" s="296"/>
      <c r="T185" s="292"/>
    </row>
    <row r="186" ht="12.75" customHeight="1">
      <c r="D186" s="293"/>
      <c r="E186" s="107"/>
      <c r="F186" s="294"/>
      <c r="G186" s="295"/>
      <c r="J186" s="296"/>
      <c r="K186" s="295"/>
      <c r="M186" s="296"/>
      <c r="N186" s="295"/>
      <c r="P186" s="296"/>
      <c r="T186" s="292"/>
    </row>
    <row r="187" ht="12.75" customHeight="1">
      <c r="D187" s="293"/>
      <c r="E187" s="107"/>
      <c r="F187" s="294"/>
      <c r="G187" s="295"/>
      <c r="J187" s="296"/>
      <c r="K187" s="295"/>
      <c r="M187" s="296"/>
      <c r="N187" s="295"/>
      <c r="P187" s="296"/>
      <c r="T187" s="292"/>
    </row>
    <row r="188" ht="12.75" customHeight="1">
      <c r="D188" s="293"/>
      <c r="E188" s="107"/>
      <c r="F188" s="294"/>
      <c r="G188" s="295"/>
      <c r="J188" s="296"/>
      <c r="K188" s="295"/>
      <c r="M188" s="296"/>
      <c r="N188" s="295"/>
      <c r="P188" s="296"/>
      <c r="T188" s="292"/>
    </row>
    <row r="189" ht="12.75" customHeight="1">
      <c r="D189" s="293"/>
      <c r="E189" s="107"/>
      <c r="F189" s="294"/>
      <c r="G189" s="295"/>
      <c r="J189" s="296"/>
      <c r="K189" s="295"/>
      <c r="M189" s="296"/>
      <c r="N189" s="295"/>
      <c r="P189" s="296"/>
      <c r="T189" s="292"/>
    </row>
    <row r="190" ht="12.75" customHeight="1">
      <c r="D190" s="293"/>
      <c r="E190" s="107"/>
      <c r="F190" s="294"/>
      <c r="G190" s="295"/>
      <c r="J190" s="296"/>
      <c r="K190" s="295"/>
      <c r="M190" s="296"/>
      <c r="N190" s="295"/>
      <c r="P190" s="296"/>
      <c r="T190" s="292"/>
    </row>
    <row r="191" ht="12.75" customHeight="1">
      <c r="D191" s="293"/>
      <c r="E191" s="107"/>
      <c r="F191" s="294"/>
      <c r="G191" s="295"/>
      <c r="J191" s="296"/>
      <c r="K191" s="295"/>
      <c r="M191" s="296"/>
      <c r="N191" s="295"/>
      <c r="P191" s="296"/>
      <c r="T191" s="292"/>
    </row>
    <row r="192" ht="12.75" customHeight="1">
      <c r="D192" s="293"/>
      <c r="E192" s="107"/>
      <c r="F192" s="294"/>
      <c r="G192" s="295"/>
      <c r="J192" s="296"/>
      <c r="K192" s="295"/>
      <c r="M192" s="296"/>
      <c r="N192" s="295"/>
      <c r="P192" s="296"/>
      <c r="T192" s="292"/>
    </row>
    <row r="193" ht="12.75" customHeight="1">
      <c r="D193" s="293"/>
      <c r="E193" s="107"/>
      <c r="F193" s="294"/>
      <c r="G193" s="295"/>
      <c r="J193" s="296"/>
      <c r="K193" s="295"/>
      <c r="M193" s="296"/>
      <c r="N193" s="295"/>
      <c r="P193" s="296"/>
      <c r="T193" s="292"/>
    </row>
    <row r="194" ht="12.75" customHeight="1">
      <c r="D194" s="293"/>
      <c r="E194" s="107"/>
      <c r="F194" s="294"/>
      <c r="G194" s="295"/>
      <c r="J194" s="296"/>
      <c r="K194" s="295"/>
      <c r="M194" s="296"/>
      <c r="N194" s="295"/>
      <c r="P194" s="296"/>
      <c r="T194" s="292"/>
    </row>
    <row r="195" ht="12.75" customHeight="1">
      <c r="D195" s="293"/>
      <c r="E195" s="107"/>
      <c r="F195" s="294"/>
      <c r="G195" s="295"/>
      <c r="J195" s="296"/>
      <c r="K195" s="295"/>
      <c r="M195" s="296"/>
      <c r="N195" s="295"/>
      <c r="P195" s="296"/>
      <c r="T195" s="292"/>
    </row>
    <row r="196" ht="12.75" customHeight="1">
      <c r="D196" s="293"/>
      <c r="E196" s="107"/>
      <c r="F196" s="294"/>
      <c r="G196" s="295"/>
      <c r="J196" s="296"/>
      <c r="K196" s="295"/>
      <c r="M196" s="296"/>
      <c r="N196" s="295"/>
      <c r="P196" s="296"/>
      <c r="T196" s="292"/>
    </row>
    <row r="197" ht="12.75" customHeight="1">
      <c r="D197" s="293"/>
      <c r="E197" s="107"/>
      <c r="F197" s="294"/>
      <c r="G197" s="295"/>
      <c r="J197" s="296"/>
      <c r="K197" s="295"/>
      <c r="M197" s="296"/>
      <c r="N197" s="295"/>
      <c r="P197" s="296"/>
      <c r="T197" s="292"/>
    </row>
    <row r="198" ht="12.75" customHeight="1">
      <c r="D198" s="293"/>
      <c r="E198" s="107"/>
      <c r="F198" s="294"/>
      <c r="G198" s="295"/>
      <c r="J198" s="296"/>
      <c r="K198" s="295"/>
      <c r="M198" s="296"/>
      <c r="N198" s="295"/>
      <c r="P198" s="296"/>
      <c r="T198" s="292"/>
    </row>
    <row r="199" ht="12.75" customHeight="1">
      <c r="D199" s="293"/>
      <c r="E199" s="107"/>
      <c r="F199" s="294"/>
      <c r="G199" s="295"/>
      <c r="J199" s="296"/>
      <c r="K199" s="295"/>
      <c r="M199" s="296"/>
      <c r="N199" s="295"/>
      <c r="P199" s="296"/>
      <c r="T199" s="292"/>
    </row>
    <row r="200" ht="12.75" customHeight="1">
      <c r="D200" s="293"/>
      <c r="E200" s="107"/>
      <c r="F200" s="294"/>
      <c r="G200" s="295"/>
      <c r="J200" s="296"/>
      <c r="K200" s="295"/>
      <c r="M200" s="296"/>
      <c r="N200" s="295"/>
      <c r="P200" s="296"/>
      <c r="T200" s="292"/>
    </row>
    <row r="201" ht="12.75" customHeight="1">
      <c r="D201" s="293"/>
      <c r="E201" s="107"/>
      <c r="F201" s="294"/>
      <c r="G201" s="295"/>
      <c r="J201" s="296"/>
      <c r="K201" s="295"/>
      <c r="M201" s="296"/>
      <c r="N201" s="295"/>
      <c r="P201" s="296"/>
      <c r="T201" s="292"/>
    </row>
    <row r="202" ht="12.75" customHeight="1">
      <c r="D202" s="293"/>
      <c r="E202" s="107"/>
      <c r="F202" s="294"/>
      <c r="G202" s="295"/>
      <c r="J202" s="296"/>
      <c r="K202" s="295"/>
      <c r="M202" s="296"/>
      <c r="N202" s="295"/>
      <c r="P202" s="296"/>
      <c r="T202" s="292"/>
    </row>
    <row r="203" ht="12.75" customHeight="1">
      <c r="D203" s="293"/>
      <c r="E203" s="107"/>
      <c r="F203" s="294"/>
      <c r="G203" s="295"/>
      <c r="J203" s="296"/>
      <c r="K203" s="295"/>
      <c r="M203" s="296"/>
      <c r="N203" s="295"/>
      <c r="P203" s="296"/>
      <c r="T203" s="292"/>
    </row>
    <row r="204" ht="12.75" customHeight="1">
      <c r="D204" s="293"/>
      <c r="E204" s="107"/>
      <c r="F204" s="294"/>
      <c r="G204" s="295"/>
      <c r="J204" s="296"/>
      <c r="K204" s="295"/>
      <c r="M204" s="296"/>
      <c r="N204" s="295"/>
      <c r="P204" s="296"/>
      <c r="T204" s="292"/>
    </row>
    <row r="205" ht="12.75" customHeight="1">
      <c r="D205" s="293"/>
      <c r="E205" s="107"/>
      <c r="F205" s="294"/>
      <c r="G205" s="295"/>
      <c r="J205" s="296"/>
      <c r="K205" s="295"/>
      <c r="M205" s="296"/>
      <c r="N205" s="295"/>
      <c r="P205" s="296"/>
      <c r="T205" s="292"/>
    </row>
    <row r="206" ht="12.75" customHeight="1">
      <c r="D206" s="293"/>
      <c r="E206" s="107"/>
      <c r="F206" s="294"/>
      <c r="G206" s="295"/>
      <c r="J206" s="296"/>
      <c r="K206" s="295"/>
      <c r="M206" s="296"/>
      <c r="N206" s="295"/>
      <c r="P206" s="296"/>
      <c r="T206" s="292"/>
    </row>
    <row r="207" ht="12.75" customHeight="1">
      <c r="D207" s="293"/>
      <c r="E207" s="107"/>
      <c r="F207" s="294"/>
      <c r="G207" s="295"/>
      <c r="J207" s="296"/>
      <c r="K207" s="295"/>
      <c r="M207" s="296"/>
      <c r="N207" s="295"/>
      <c r="P207" s="296"/>
      <c r="T207" s="292"/>
    </row>
    <row r="208" ht="12.75" customHeight="1">
      <c r="D208" s="293"/>
      <c r="E208" s="107"/>
      <c r="F208" s="294"/>
      <c r="G208" s="295"/>
      <c r="J208" s="296"/>
      <c r="K208" s="295"/>
      <c r="M208" s="296"/>
      <c r="N208" s="295"/>
      <c r="P208" s="296"/>
      <c r="T208" s="292"/>
    </row>
    <row r="209" ht="12.75" customHeight="1">
      <c r="D209" s="293"/>
      <c r="E209" s="107"/>
      <c r="F209" s="294"/>
      <c r="G209" s="295"/>
      <c r="J209" s="296"/>
      <c r="K209" s="295"/>
      <c r="M209" s="296"/>
      <c r="N209" s="295"/>
      <c r="P209" s="296"/>
      <c r="T209" s="292"/>
    </row>
    <row r="210" ht="12.75" customHeight="1">
      <c r="D210" s="293"/>
      <c r="E210" s="107"/>
      <c r="F210" s="294"/>
      <c r="G210" s="295"/>
      <c r="J210" s="296"/>
      <c r="K210" s="295"/>
      <c r="M210" s="296"/>
      <c r="N210" s="295"/>
      <c r="P210" s="296"/>
      <c r="T210" s="292"/>
    </row>
    <row r="211" ht="12.75" customHeight="1">
      <c r="D211" s="293"/>
      <c r="E211" s="107"/>
      <c r="F211" s="294"/>
      <c r="G211" s="295"/>
      <c r="J211" s="296"/>
      <c r="K211" s="295"/>
      <c r="M211" s="296"/>
      <c r="N211" s="295"/>
      <c r="P211" s="296"/>
      <c r="T211" s="292"/>
    </row>
    <row r="212" ht="12.75" customHeight="1">
      <c r="D212" s="293"/>
      <c r="E212" s="107"/>
      <c r="F212" s="294"/>
      <c r="G212" s="295"/>
      <c r="J212" s="296"/>
      <c r="K212" s="295"/>
      <c r="M212" s="296"/>
      <c r="N212" s="295"/>
      <c r="P212" s="296"/>
      <c r="T212" s="292"/>
    </row>
    <row r="213" ht="12.75" customHeight="1">
      <c r="D213" s="293"/>
      <c r="E213" s="107"/>
      <c r="F213" s="294"/>
      <c r="G213" s="295"/>
      <c r="J213" s="296"/>
      <c r="K213" s="295"/>
      <c r="M213" s="296"/>
      <c r="N213" s="295"/>
      <c r="P213" s="296"/>
      <c r="T213" s="292"/>
    </row>
    <row r="214" ht="12.75" customHeight="1">
      <c r="D214" s="293"/>
      <c r="E214" s="107"/>
      <c r="F214" s="294"/>
      <c r="G214" s="295"/>
      <c r="J214" s="296"/>
      <c r="K214" s="295"/>
      <c r="M214" s="296"/>
      <c r="N214" s="295"/>
      <c r="P214" s="296"/>
      <c r="T214" s="292"/>
    </row>
    <row r="215" ht="12.75" customHeight="1">
      <c r="D215" s="293"/>
      <c r="E215" s="107"/>
      <c r="F215" s="294"/>
      <c r="G215" s="295"/>
      <c r="J215" s="296"/>
      <c r="K215" s="295"/>
      <c r="M215" s="296"/>
      <c r="N215" s="295"/>
      <c r="P215" s="296"/>
      <c r="T215" s="292"/>
    </row>
    <row r="216" ht="12.75" customHeight="1">
      <c r="D216" s="293"/>
      <c r="E216" s="107"/>
      <c r="F216" s="294"/>
      <c r="G216" s="295"/>
      <c r="J216" s="296"/>
      <c r="K216" s="295"/>
      <c r="M216" s="296"/>
      <c r="N216" s="295"/>
      <c r="P216" s="296"/>
      <c r="T216" s="292"/>
    </row>
    <row r="217" ht="12.75" customHeight="1">
      <c r="D217" s="293"/>
      <c r="E217" s="107"/>
      <c r="F217" s="294"/>
      <c r="G217" s="295"/>
      <c r="J217" s="296"/>
      <c r="K217" s="295"/>
      <c r="M217" s="296"/>
      <c r="N217" s="295"/>
      <c r="P217" s="296"/>
      <c r="T217" s="292"/>
    </row>
    <row r="218" ht="12.75" customHeight="1">
      <c r="D218" s="293"/>
      <c r="E218" s="107"/>
      <c r="F218" s="294"/>
      <c r="G218" s="295"/>
      <c r="J218" s="296"/>
      <c r="K218" s="295"/>
      <c r="M218" s="296"/>
      <c r="N218" s="295"/>
      <c r="P218" s="296"/>
      <c r="T218" s="292"/>
    </row>
    <row r="219" ht="12.75" customHeight="1">
      <c r="D219" s="293"/>
      <c r="E219" s="107"/>
      <c r="F219" s="294"/>
      <c r="G219" s="295"/>
      <c r="J219" s="296"/>
      <c r="K219" s="295"/>
      <c r="M219" s="296"/>
      <c r="N219" s="295"/>
      <c r="P219" s="296"/>
      <c r="T219" s="292"/>
    </row>
    <row r="220" ht="12.75" customHeight="1">
      <c r="D220" s="293"/>
      <c r="E220" s="107"/>
      <c r="F220" s="294"/>
      <c r="G220" s="295"/>
      <c r="J220" s="296"/>
      <c r="K220" s="295"/>
      <c r="M220" s="296"/>
      <c r="N220" s="295"/>
      <c r="P220" s="296"/>
      <c r="T220" s="292"/>
    </row>
    <row r="221" ht="12.75" customHeight="1">
      <c r="D221" s="293"/>
      <c r="E221" s="107"/>
      <c r="F221" s="294"/>
      <c r="G221" s="295"/>
      <c r="J221" s="296"/>
      <c r="K221" s="295"/>
      <c r="M221" s="296"/>
      <c r="N221" s="295"/>
      <c r="P221" s="296"/>
      <c r="T221" s="292"/>
    </row>
    <row r="222" ht="12.75" customHeight="1">
      <c r="D222" s="293"/>
      <c r="E222" s="107"/>
      <c r="F222" s="294"/>
      <c r="G222" s="295"/>
      <c r="J222" s="296"/>
      <c r="K222" s="295"/>
      <c r="M222" s="296"/>
      <c r="N222" s="295"/>
      <c r="P222" s="296"/>
      <c r="T222" s="292"/>
    </row>
    <row r="223" ht="12.75" customHeight="1">
      <c r="D223" s="293"/>
      <c r="E223" s="107"/>
      <c r="F223" s="294"/>
      <c r="G223" s="295"/>
      <c r="J223" s="296"/>
      <c r="K223" s="295"/>
      <c r="M223" s="296"/>
      <c r="N223" s="295"/>
      <c r="P223" s="296"/>
      <c r="T223" s="292"/>
    </row>
    <row r="224" ht="12.75" customHeight="1">
      <c r="D224" s="293"/>
      <c r="E224" s="107"/>
      <c r="F224" s="294"/>
      <c r="G224" s="295"/>
      <c r="J224" s="296"/>
      <c r="K224" s="295"/>
      <c r="M224" s="296"/>
      <c r="N224" s="295"/>
      <c r="P224" s="296"/>
      <c r="T224" s="292"/>
    </row>
    <row r="225" ht="12.75" customHeight="1">
      <c r="D225" s="293"/>
      <c r="E225" s="107"/>
      <c r="F225" s="294"/>
      <c r="G225" s="295"/>
      <c r="J225" s="296"/>
      <c r="K225" s="295"/>
      <c r="M225" s="296"/>
      <c r="N225" s="295"/>
      <c r="P225" s="296"/>
      <c r="T225" s="292"/>
    </row>
    <row r="226" ht="12.75" customHeight="1">
      <c r="D226" s="293"/>
      <c r="E226" s="107"/>
      <c r="F226" s="294"/>
      <c r="G226" s="295"/>
      <c r="J226" s="296"/>
      <c r="K226" s="295"/>
      <c r="M226" s="296"/>
      <c r="N226" s="295"/>
      <c r="P226" s="296"/>
      <c r="T226" s="292"/>
    </row>
    <row r="227" ht="12.75" customHeight="1">
      <c r="D227" s="293"/>
      <c r="E227" s="107"/>
      <c r="F227" s="294"/>
      <c r="G227" s="295"/>
      <c r="J227" s="296"/>
      <c r="K227" s="295"/>
      <c r="M227" s="296"/>
      <c r="N227" s="295"/>
      <c r="P227" s="296"/>
      <c r="T227" s="292"/>
    </row>
    <row r="228" ht="12.75" customHeight="1">
      <c r="D228" s="293"/>
      <c r="E228" s="107"/>
      <c r="F228" s="294"/>
      <c r="G228" s="295"/>
      <c r="J228" s="296"/>
      <c r="K228" s="295"/>
      <c r="M228" s="296"/>
      <c r="N228" s="295"/>
      <c r="P228" s="296"/>
      <c r="T228" s="292"/>
    </row>
    <row r="229" ht="12.75" customHeight="1">
      <c r="D229" s="293"/>
      <c r="E229" s="107"/>
      <c r="F229" s="294"/>
      <c r="G229" s="295"/>
      <c r="J229" s="296"/>
      <c r="K229" s="295"/>
      <c r="M229" s="296"/>
      <c r="N229" s="295"/>
      <c r="P229" s="296"/>
      <c r="T229" s="292"/>
    </row>
    <row r="230" ht="12.75" customHeight="1">
      <c r="D230" s="293"/>
      <c r="E230" s="107"/>
      <c r="F230" s="294"/>
      <c r="G230" s="295"/>
      <c r="J230" s="296"/>
      <c r="K230" s="295"/>
      <c r="M230" s="296"/>
      <c r="N230" s="295"/>
      <c r="P230" s="296"/>
      <c r="T230" s="292"/>
    </row>
    <row r="231" ht="12.75" customHeight="1">
      <c r="D231" s="293"/>
      <c r="E231" s="107"/>
      <c r="F231" s="294"/>
      <c r="G231" s="295"/>
      <c r="J231" s="296"/>
      <c r="K231" s="295"/>
      <c r="M231" s="296"/>
      <c r="N231" s="295"/>
      <c r="P231" s="296"/>
      <c r="T231" s="292"/>
    </row>
    <row r="232" ht="12.75" customHeight="1">
      <c r="D232" s="293"/>
      <c r="E232" s="107"/>
      <c r="F232" s="294"/>
      <c r="G232" s="295"/>
      <c r="J232" s="296"/>
      <c r="K232" s="295"/>
      <c r="M232" s="296"/>
      <c r="N232" s="295"/>
      <c r="P232" s="296"/>
      <c r="T232" s="292"/>
    </row>
    <row r="233" ht="12.75" customHeight="1">
      <c r="D233" s="293"/>
      <c r="E233" s="107"/>
      <c r="F233" s="294"/>
      <c r="G233" s="295"/>
      <c r="J233" s="296"/>
      <c r="K233" s="295"/>
      <c r="M233" s="296"/>
      <c r="N233" s="295"/>
      <c r="P233" s="296"/>
      <c r="T233" s="292"/>
    </row>
    <row r="234" ht="12.75" customHeight="1">
      <c r="D234" s="293"/>
      <c r="E234" s="107"/>
      <c r="F234" s="294"/>
      <c r="G234" s="295"/>
      <c r="J234" s="296"/>
      <c r="K234" s="295"/>
      <c r="M234" s="296"/>
      <c r="N234" s="295"/>
      <c r="P234" s="296"/>
      <c r="T234" s="292"/>
    </row>
    <row r="235" ht="12.75" customHeight="1">
      <c r="D235" s="293"/>
      <c r="E235" s="107"/>
      <c r="F235" s="294"/>
      <c r="G235" s="295"/>
      <c r="J235" s="296"/>
      <c r="K235" s="295"/>
      <c r="M235" s="296"/>
      <c r="N235" s="295"/>
      <c r="P235" s="296"/>
      <c r="T235" s="292"/>
    </row>
    <row r="236" ht="12.75" customHeight="1">
      <c r="D236" s="293"/>
      <c r="E236" s="107"/>
      <c r="F236" s="294"/>
      <c r="G236" s="295"/>
      <c r="J236" s="296"/>
      <c r="K236" s="295"/>
      <c r="M236" s="296"/>
      <c r="N236" s="295"/>
      <c r="P236" s="296"/>
      <c r="T236" s="292"/>
    </row>
    <row r="237" ht="12.75" customHeight="1">
      <c r="D237" s="293"/>
      <c r="E237" s="107"/>
      <c r="F237" s="294"/>
      <c r="G237" s="295"/>
      <c r="J237" s="296"/>
      <c r="K237" s="295"/>
      <c r="M237" s="296"/>
      <c r="N237" s="295"/>
      <c r="P237" s="296"/>
      <c r="T237" s="292"/>
    </row>
    <row r="238" ht="12.75" customHeight="1">
      <c r="D238" s="293"/>
      <c r="E238" s="107"/>
      <c r="F238" s="294"/>
      <c r="G238" s="295"/>
      <c r="J238" s="296"/>
      <c r="K238" s="295"/>
      <c r="M238" s="296"/>
      <c r="N238" s="295"/>
      <c r="P238" s="296"/>
      <c r="T238" s="292"/>
    </row>
    <row r="239" ht="12.75" customHeight="1">
      <c r="D239" s="293"/>
      <c r="E239" s="107"/>
      <c r="F239" s="294"/>
      <c r="G239" s="295"/>
      <c r="J239" s="296"/>
      <c r="K239" s="295"/>
      <c r="M239" s="296"/>
      <c r="N239" s="295"/>
      <c r="P239" s="296"/>
      <c r="T239" s="292"/>
    </row>
    <row r="240" ht="12.75" customHeight="1">
      <c r="D240" s="293"/>
      <c r="E240" s="107"/>
      <c r="F240" s="294"/>
      <c r="G240" s="295"/>
      <c r="J240" s="296"/>
      <c r="K240" s="295"/>
      <c r="M240" s="296"/>
      <c r="N240" s="295"/>
      <c r="P240" s="296"/>
      <c r="T240" s="292"/>
    </row>
    <row r="241" ht="12.75" customHeight="1">
      <c r="D241" s="293"/>
      <c r="E241" s="107"/>
      <c r="F241" s="294"/>
      <c r="G241" s="295"/>
      <c r="J241" s="296"/>
      <c r="K241" s="295"/>
      <c r="M241" s="296"/>
      <c r="N241" s="295"/>
      <c r="P241" s="296"/>
      <c r="T241" s="292"/>
    </row>
    <row r="242" ht="12.75" customHeight="1">
      <c r="D242" s="293"/>
      <c r="E242" s="107"/>
      <c r="F242" s="294"/>
      <c r="G242" s="295"/>
      <c r="J242" s="296"/>
      <c r="K242" s="295"/>
      <c r="M242" s="296"/>
      <c r="N242" s="295"/>
      <c r="P242" s="296"/>
      <c r="T242" s="292"/>
    </row>
    <row r="243" ht="12.75" customHeight="1">
      <c r="D243" s="293"/>
      <c r="E243" s="107"/>
      <c r="F243" s="294"/>
      <c r="G243" s="295"/>
      <c r="J243" s="296"/>
      <c r="K243" s="295"/>
      <c r="M243" s="296"/>
      <c r="N243" s="295"/>
      <c r="P243" s="296"/>
      <c r="T243" s="292"/>
    </row>
    <row r="244" ht="12.75" customHeight="1">
      <c r="D244" s="293"/>
      <c r="E244" s="107"/>
      <c r="F244" s="294"/>
      <c r="G244" s="295"/>
      <c r="J244" s="296"/>
      <c r="K244" s="295"/>
      <c r="M244" s="296"/>
      <c r="N244" s="295"/>
      <c r="P244" s="296"/>
      <c r="T244" s="292"/>
    </row>
    <row r="245" ht="12.75" customHeight="1">
      <c r="D245" s="293"/>
      <c r="E245" s="107"/>
      <c r="F245" s="294"/>
      <c r="G245" s="295"/>
      <c r="J245" s="296"/>
      <c r="K245" s="295"/>
      <c r="M245" s="296"/>
      <c r="N245" s="295"/>
      <c r="P245" s="296"/>
      <c r="T245" s="292"/>
    </row>
    <row r="246" ht="12.75" customHeight="1">
      <c r="D246" s="293"/>
      <c r="E246" s="107"/>
      <c r="F246" s="294"/>
      <c r="G246" s="295"/>
      <c r="J246" s="296"/>
      <c r="K246" s="295"/>
      <c r="M246" s="296"/>
      <c r="N246" s="295"/>
      <c r="P246" s="296"/>
      <c r="T246" s="292"/>
    </row>
    <row r="247" ht="12.75" customHeight="1">
      <c r="D247" s="293"/>
      <c r="E247" s="107"/>
      <c r="F247" s="294"/>
      <c r="G247" s="295"/>
      <c r="J247" s="296"/>
      <c r="K247" s="295"/>
      <c r="M247" s="296"/>
      <c r="N247" s="295"/>
      <c r="P247" s="296"/>
      <c r="T247" s="292"/>
    </row>
    <row r="248" ht="12.75" customHeight="1">
      <c r="D248" s="293"/>
      <c r="E248" s="107"/>
      <c r="F248" s="294"/>
      <c r="G248" s="295"/>
      <c r="J248" s="296"/>
      <c r="K248" s="295"/>
      <c r="M248" s="296"/>
      <c r="N248" s="295"/>
      <c r="P248" s="296"/>
      <c r="T248" s="292"/>
    </row>
    <row r="249" ht="12.75" customHeight="1">
      <c r="D249" s="293"/>
      <c r="E249" s="107"/>
      <c r="F249" s="294"/>
      <c r="G249" s="295"/>
      <c r="J249" s="296"/>
      <c r="K249" s="295"/>
      <c r="M249" s="296"/>
      <c r="N249" s="295"/>
      <c r="P249" s="296"/>
      <c r="T249" s="292"/>
    </row>
    <row r="250" ht="12.75" customHeight="1">
      <c r="D250" s="293"/>
      <c r="E250" s="107"/>
      <c r="F250" s="294"/>
      <c r="G250" s="295"/>
      <c r="J250" s="296"/>
      <c r="K250" s="295"/>
      <c r="M250" s="296"/>
      <c r="N250" s="295"/>
      <c r="P250" s="296"/>
      <c r="T250" s="292"/>
    </row>
    <row r="251" ht="12.75" customHeight="1">
      <c r="D251" s="293"/>
      <c r="E251" s="107"/>
      <c r="F251" s="294"/>
      <c r="G251" s="295"/>
      <c r="J251" s="296"/>
      <c r="K251" s="295"/>
      <c r="M251" s="296"/>
      <c r="N251" s="295"/>
      <c r="P251" s="296"/>
      <c r="T251" s="292"/>
    </row>
    <row r="252" ht="12.75" customHeight="1">
      <c r="D252" s="293"/>
      <c r="E252" s="107"/>
      <c r="F252" s="294"/>
      <c r="G252" s="295"/>
      <c r="J252" s="296"/>
      <c r="K252" s="295"/>
      <c r="M252" s="296"/>
      <c r="N252" s="295"/>
      <c r="P252" s="296"/>
      <c r="T252" s="292"/>
    </row>
    <row r="253" ht="12.75" customHeight="1">
      <c r="D253" s="293"/>
      <c r="E253" s="107"/>
      <c r="F253" s="294"/>
      <c r="G253" s="295"/>
      <c r="J253" s="296"/>
      <c r="K253" s="295"/>
      <c r="M253" s="296"/>
      <c r="N253" s="295"/>
      <c r="P253" s="296"/>
      <c r="T253" s="292"/>
    </row>
    <row r="254" ht="12.75" customHeight="1">
      <c r="D254" s="293"/>
      <c r="E254" s="107"/>
      <c r="F254" s="294"/>
      <c r="G254" s="295"/>
      <c r="J254" s="296"/>
      <c r="K254" s="295"/>
      <c r="M254" s="296"/>
      <c r="N254" s="295"/>
      <c r="P254" s="296"/>
      <c r="T254" s="292"/>
    </row>
    <row r="255" ht="12.75" customHeight="1">
      <c r="D255" s="293"/>
      <c r="E255" s="107"/>
      <c r="F255" s="294"/>
      <c r="G255" s="295"/>
      <c r="J255" s="296"/>
      <c r="K255" s="295"/>
      <c r="M255" s="296"/>
      <c r="N255" s="295"/>
      <c r="P255" s="296"/>
      <c r="T255" s="292"/>
    </row>
    <row r="256" ht="12.75" customHeight="1">
      <c r="D256" s="293"/>
      <c r="E256" s="107"/>
      <c r="F256" s="294"/>
      <c r="G256" s="295"/>
      <c r="J256" s="296"/>
      <c r="K256" s="295"/>
      <c r="M256" s="296"/>
      <c r="N256" s="295"/>
      <c r="P256" s="296"/>
      <c r="T256" s="292"/>
    </row>
    <row r="257" ht="12.75" customHeight="1">
      <c r="D257" s="293"/>
      <c r="E257" s="107"/>
      <c r="F257" s="294"/>
      <c r="G257" s="295"/>
      <c r="J257" s="296"/>
      <c r="K257" s="295"/>
      <c r="M257" s="296"/>
      <c r="N257" s="295"/>
      <c r="P257" s="296"/>
      <c r="T257" s="292"/>
    </row>
    <row r="258" ht="12.75" customHeight="1">
      <c r="D258" s="293"/>
      <c r="E258" s="107"/>
      <c r="F258" s="294"/>
      <c r="G258" s="295"/>
      <c r="J258" s="296"/>
      <c r="K258" s="295"/>
      <c r="M258" s="296"/>
      <c r="N258" s="295"/>
      <c r="P258" s="296"/>
      <c r="T258" s="292"/>
    </row>
    <row r="259" ht="12.75" customHeight="1">
      <c r="D259" s="293"/>
      <c r="E259" s="107"/>
      <c r="F259" s="294"/>
      <c r="G259" s="295"/>
      <c r="J259" s="296"/>
      <c r="K259" s="295"/>
      <c r="M259" s="296"/>
      <c r="N259" s="295"/>
      <c r="P259" s="296"/>
      <c r="T259" s="292"/>
    </row>
    <row r="260" ht="12.75" customHeight="1">
      <c r="D260" s="293"/>
      <c r="E260" s="107"/>
      <c r="F260" s="294"/>
      <c r="G260" s="295"/>
      <c r="J260" s="296"/>
      <c r="K260" s="295"/>
      <c r="M260" s="296"/>
      <c r="N260" s="295"/>
      <c r="P260" s="296"/>
      <c r="T260" s="292"/>
    </row>
    <row r="261" ht="12.75" customHeight="1">
      <c r="D261" s="293"/>
      <c r="E261" s="107"/>
      <c r="F261" s="294"/>
      <c r="G261" s="295"/>
      <c r="J261" s="296"/>
      <c r="K261" s="295"/>
      <c r="M261" s="296"/>
      <c r="N261" s="295"/>
      <c r="P261" s="296"/>
      <c r="T261" s="292"/>
    </row>
    <row r="262" ht="12.75" customHeight="1">
      <c r="D262" s="293"/>
      <c r="E262" s="107"/>
      <c r="F262" s="294"/>
      <c r="G262" s="295"/>
      <c r="J262" s="296"/>
      <c r="K262" s="295"/>
      <c r="M262" s="296"/>
      <c r="N262" s="295"/>
      <c r="P262" s="296"/>
      <c r="T262" s="292"/>
    </row>
    <row r="263" ht="12.75" customHeight="1">
      <c r="D263" s="293"/>
      <c r="E263" s="107"/>
      <c r="F263" s="294"/>
      <c r="G263" s="295"/>
      <c r="J263" s="296"/>
      <c r="K263" s="295"/>
      <c r="M263" s="296"/>
      <c r="N263" s="295"/>
      <c r="P263" s="296"/>
      <c r="T263" s="292"/>
    </row>
    <row r="264" ht="12.75" customHeight="1">
      <c r="D264" s="293"/>
      <c r="E264" s="107"/>
      <c r="F264" s="294"/>
      <c r="G264" s="295"/>
      <c r="J264" s="296"/>
      <c r="K264" s="295"/>
      <c r="M264" s="296"/>
      <c r="N264" s="295"/>
      <c r="P264" s="296"/>
      <c r="T264" s="292"/>
    </row>
    <row r="265" ht="12.75" customHeight="1">
      <c r="D265" s="293"/>
      <c r="E265" s="107"/>
      <c r="F265" s="294"/>
      <c r="G265" s="295"/>
      <c r="J265" s="296"/>
      <c r="K265" s="295"/>
      <c r="M265" s="296"/>
      <c r="N265" s="295"/>
      <c r="P265" s="296"/>
      <c r="T265" s="292"/>
    </row>
    <row r="266" ht="12.75" customHeight="1">
      <c r="D266" s="293"/>
      <c r="E266" s="107"/>
      <c r="F266" s="294"/>
      <c r="G266" s="295"/>
      <c r="J266" s="296"/>
      <c r="K266" s="295"/>
      <c r="M266" s="296"/>
      <c r="N266" s="295"/>
      <c r="P266" s="296"/>
      <c r="T266" s="292"/>
    </row>
    <row r="267" ht="12.75" customHeight="1">
      <c r="D267" s="293"/>
      <c r="E267" s="107"/>
      <c r="F267" s="294"/>
      <c r="G267" s="295"/>
      <c r="J267" s="296"/>
      <c r="K267" s="295"/>
      <c r="M267" s="296"/>
      <c r="N267" s="295"/>
      <c r="P267" s="296"/>
      <c r="T267" s="292"/>
    </row>
    <row r="268" ht="12.75" customHeight="1">
      <c r="D268" s="293"/>
      <c r="E268" s="107"/>
      <c r="F268" s="294"/>
      <c r="G268" s="295"/>
      <c r="J268" s="296"/>
      <c r="K268" s="295"/>
      <c r="M268" s="296"/>
      <c r="N268" s="295"/>
      <c r="P268" s="296"/>
      <c r="T268" s="292"/>
    </row>
    <row r="269" ht="12.75" customHeight="1">
      <c r="D269" s="293"/>
      <c r="E269" s="107"/>
      <c r="F269" s="294"/>
      <c r="G269" s="295"/>
      <c r="J269" s="296"/>
      <c r="K269" s="295"/>
      <c r="M269" s="296"/>
      <c r="N269" s="295"/>
      <c r="P269" s="296"/>
      <c r="T269" s="292"/>
    </row>
    <row r="270" ht="12.75" customHeight="1">
      <c r="D270" s="293"/>
      <c r="E270" s="107"/>
      <c r="F270" s="294"/>
      <c r="G270" s="295"/>
      <c r="J270" s="296"/>
      <c r="K270" s="295"/>
      <c r="M270" s="296"/>
      <c r="N270" s="295"/>
      <c r="P270" s="296"/>
      <c r="T270" s="292"/>
    </row>
    <row r="271" ht="12.75" customHeight="1">
      <c r="D271" s="293"/>
      <c r="E271" s="107"/>
      <c r="F271" s="294"/>
      <c r="G271" s="295"/>
      <c r="J271" s="296"/>
      <c r="K271" s="295"/>
      <c r="M271" s="296"/>
      <c r="N271" s="295"/>
      <c r="P271" s="296"/>
      <c r="T271" s="292"/>
    </row>
    <row r="272" ht="12.75" customHeight="1">
      <c r="D272" s="293"/>
      <c r="E272" s="107"/>
      <c r="F272" s="294"/>
      <c r="G272" s="295"/>
      <c r="J272" s="296"/>
      <c r="K272" s="295"/>
      <c r="M272" s="296"/>
      <c r="N272" s="295"/>
      <c r="P272" s="296"/>
      <c r="T272" s="292"/>
    </row>
    <row r="273" ht="12.75" customHeight="1">
      <c r="D273" s="293"/>
      <c r="E273" s="107"/>
      <c r="F273" s="294"/>
      <c r="G273" s="295"/>
      <c r="J273" s="296"/>
      <c r="K273" s="295"/>
      <c r="M273" s="296"/>
      <c r="N273" s="295"/>
      <c r="P273" s="296"/>
      <c r="T273" s="292"/>
    </row>
    <row r="274" ht="12.75" customHeight="1">
      <c r="D274" s="293"/>
      <c r="E274" s="107"/>
      <c r="F274" s="294"/>
      <c r="G274" s="295"/>
      <c r="J274" s="296"/>
      <c r="K274" s="295"/>
      <c r="M274" s="296"/>
      <c r="N274" s="295"/>
      <c r="P274" s="296"/>
      <c r="T274" s="292"/>
    </row>
    <row r="275" ht="12.75" customHeight="1">
      <c r="D275" s="293"/>
      <c r="E275" s="107"/>
      <c r="F275" s="294"/>
      <c r="G275" s="295"/>
      <c r="J275" s="296"/>
      <c r="K275" s="295"/>
      <c r="M275" s="296"/>
      <c r="N275" s="295"/>
      <c r="P275" s="296"/>
      <c r="T275" s="292"/>
    </row>
    <row r="276" ht="12.75" customHeight="1">
      <c r="D276" s="293"/>
      <c r="E276" s="107"/>
      <c r="F276" s="294"/>
      <c r="G276" s="295"/>
      <c r="J276" s="296"/>
      <c r="K276" s="295"/>
      <c r="M276" s="296"/>
      <c r="N276" s="295"/>
      <c r="P276" s="296"/>
      <c r="T276" s="292"/>
    </row>
    <row r="277" ht="12.75" customHeight="1">
      <c r="D277" s="293"/>
      <c r="E277" s="107"/>
      <c r="F277" s="294"/>
      <c r="G277" s="295"/>
      <c r="J277" s="296"/>
      <c r="K277" s="295"/>
      <c r="M277" s="296"/>
      <c r="N277" s="295"/>
      <c r="P277" s="296"/>
      <c r="T277" s="292"/>
    </row>
    <row r="278" ht="12.75" customHeight="1">
      <c r="D278" s="293"/>
      <c r="E278" s="107"/>
      <c r="F278" s="294"/>
      <c r="G278" s="295"/>
      <c r="J278" s="296"/>
      <c r="K278" s="295"/>
      <c r="M278" s="296"/>
      <c r="N278" s="295"/>
      <c r="P278" s="296"/>
      <c r="T278" s="292"/>
    </row>
    <row r="279" ht="12.75" customHeight="1">
      <c r="D279" s="293"/>
      <c r="E279" s="107"/>
      <c r="F279" s="294"/>
      <c r="G279" s="295"/>
      <c r="J279" s="296"/>
      <c r="K279" s="295"/>
      <c r="M279" s="296"/>
      <c r="N279" s="295"/>
      <c r="P279" s="296"/>
      <c r="T279" s="292"/>
    </row>
    <row r="280" ht="12.75" customHeight="1">
      <c r="D280" s="293"/>
      <c r="E280" s="107"/>
      <c r="F280" s="294"/>
      <c r="G280" s="295"/>
      <c r="J280" s="296"/>
      <c r="K280" s="295"/>
      <c r="M280" s="296"/>
      <c r="N280" s="295"/>
      <c r="P280" s="296"/>
      <c r="T280" s="292"/>
    </row>
    <row r="281" ht="12.75" customHeight="1">
      <c r="D281" s="293"/>
      <c r="E281" s="107"/>
      <c r="F281" s="294"/>
      <c r="G281" s="295"/>
      <c r="J281" s="296"/>
      <c r="K281" s="295"/>
      <c r="M281" s="296"/>
      <c r="N281" s="295"/>
      <c r="P281" s="296"/>
      <c r="T281" s="292"/>
    </row>
    <row r="282" ht="12.75" customHeight="1">
      <c r="D282" s="293"/>
      <c r="E282" s="107"/>
      <c r="F282" s="294"/>
      <c r="G282" s="295"/>
      <c r="J282" s="296"/>
      <c r="K282" s="295"/>
      <c r="M282" s="296"/>
      <c r="N282" s="295"/>
      <c r="P282" s="296"/>
      <c r="T282" s="292"/>
    </row>
    <row r="283" ht="12.75" customHeight="1">
      <c r="D283" s="293"/>
      <c r="E283" s="107"/>
      <c r="F283" s="294"/>
      <c r="G283" s="295"/>
      <c r="J283" s="296"/>
      <c r="K283" s="295"/>
      <c r="M283" s="296"/>
      <c r="N283" s="295"/>
      <c r="P283" s="296"/>
      <c r="T283" s="292"/>
    </row>
    <row r="284" ht="12.75" customHeight="1">
      <c r="D284" s="293"/>
      <c r="E284" s="107"/>
      <c r="F284" s="294"/>
      <c r="G284" s="295"/>
      <c r="J284" s="296"/>
      <c r="K284" s="295"/>
      <c r="M284" s="296"/>
      <c r="N284" s="295"/>
      <c r="P284" s="296"/>
      <c r="T284" s="292"/>
    </row>
    <row r="285" ht="12.75" customHeight="1">
      <c r="D285" s="293"/>
      <c r="E285" s="107"/>
      <c r="F285" s="294"/>
      <c r="G285" s="295"/>
      <c r="J285" s="296"/>
      <c r="K285" s="295"/>
      <c r="M285" s="296"/>
      <c r="N285" s="295"/>
      <c r="P285" s="296"/>
      <c r="T285" s="292"/>
    </row>
    <row r="286" ht="12.75" customHeight="1">
      <c r="D286" s="293"/>
      <c r="E286" s="107"/>
      <c r="F286" s="294"/>
      <c r="G286" s="295"/>
      <c r="J286" s="296"/>
      <c r="K286" s="295"/>
      <c r="M286" s="296"/>
      <c r="N286" s="295"/>
      <c r="P286" s="296"/>
      <c r="T286" s="292"/>
    </row>
    <row r="287" ht="12.75" customHeight="1">
      <c r="D287" s="293"/>
      <c r="E287" s="107"/>
      <c r="F287" s="294"/>
      <c r="G287" s="295"/>
      <c r="J287" s="296"/>
      <c r="K287" s="295"/>
      <c r="M287" s="296"/>
      <c r="N287" s="295"/>
      <c r="P287" s="296"/>
      <c r="T287" s="292"/>
    </row>
    <row r="288" ht="12.75" customHeight="1">
      <c r="D288" s="293"/>
      <c r="E288" s="107"/>
      <c r="F288" s="294"/>
      <c r="G288" s="295"/>
      <c r="J288" s="296"/>
      <c r="K288" s="295"/>
      <c r="M288" s="296"/>
      <c r="N288" s="295"/>
      <c r="P288" s="296"/>
      <c r="T288" s="292"/>
    </row>
    <row r="289" ht="12.75" customHeight="1">
      <c r="D289" s="293"/>
      <c r="E289" s="107"/>
      <c r="F289" s="294"/>
      <c r="G289" s="295"/>
      <c r="J289" s="296"/>
      <c r="K289" s="295"/>
      <c r="M289" s="296"/>
      <c r="N289" s="295"/>
      <c r="P289" s="296"/>
      <c r="T289" s="292"/>
    </row>
    <row r="290" ht="12.75" customHeight="1">
      <c r="D290" s="293"/>
      <c r="E290" s="107"/>
      <c r="F290" s="294"/>
      <c r="G290" s="295"/>
      <c r="J290" s="296"/>
      <c r="K290" s="295"/>
      <c r="M290" s="296"/>
      <c r="N290" s="295"/>
      <c r="P290" s="296"/>
      <c r="T290" s="292"/>
    </row>
    <row r="291" ht="12.75" customHeight="1">
      <c r="D291" s="293"/>
      <c r="E291" s="107"/>
      <c r="F291" s="294"/>
      <c r="G291" s="295"/>
      <c r="J291" s="296"/>
      <c r="K291" s="295"/>
      <c r="M291" s="296"/>
      <c r="N291" s="295"/>
      <c r="P291" s="296"/>
      <c r="T291" s="292"/>
    </row>
    <row r="292" ht="12.75" customHeight="1">
      <c r="D292" s="293"/>
      <c r="E292" s="107"/>
      <c r="F292" s="294"/>
      <c r="G292" s="295"/>
      <c r="J292" s="296"/>
      <c r="K292" s="295"/>
      <c r="M292" s="296"/>
      <c r="N292" s="295"/>
      <c r="P292" s="296"/>
      <c r="T292" s="292"/>
    </row>
    <row r="293" ht="12.75" customHeight="1">
      <c r="D293" s="293"/>
      <c r="E293" s="107"/>
      <c r="F293" s="294"/>
      <c r="G293" s="295"/>
      <c r="J293" s="296"/>
      <c r="K293" s="295"/>
      <c r="M293" s="296"/>
      <c r="N293" s="295"/>
      <c r="P293" s="296"/>
      <c r="T293" s="292"/>
    </row>
    <row r="294" ht="12.75" customHeight="1">
      <c r="D294" s="293"/>
      <c r="E294" s="107"/>
      <c r="F294" s="294"/>
      <c r="G294" s="295"/>
      <c r="J294" s="296"/>
      <c r="K294" s="295"/>
      <c r="M294" s="296"/>
      <c r="N294" s="295"/>
      <c r="P294" s="296"/>
      <c r="T294" s="292"/>
    </row>
    <row r="295" ht="12.75" customHeight="1">
      <c r="D295" s="293"/>
      <c r="E295" s="107"/>
      <c r="F295" s="294"/>
      <c r="G295" s="295"/>
      <c r="J295" s="296"/>
      <c r="K295" s="295"/>
      <c r="M295" s="296"/>
      <c r="N295" s="295"/>
      <c r="P295" s="296"/>
      <c r="T295" s="292"/>
    </row>
    <row r="296" ht="12.75" customHeight="1">
      <c r="D296" s="293"/>
      <c r="E296" s="107"/>
      <c r="F296" s="294"/>
      <c r="G296" s="295"/>
      <c r="J296" s="296"/>
      <c r="K296" s="295"/>
      <c r="M296" s="296"/>
      <c r="N296" s="295"/>
      <c r="P296" s="296"/>
      <c r="T296" s="292"/>
    </row>
    <row r="297" ht="12.75" customHeight="1">
      <c r="D297" s="293"/>
      <c r="E297" s="107"/>
      <c r="F297" s="294"/>
      <c r="G297" s="295"/>
      <c r="J297" s="296"/>
      <c r="K297" s="295"/>
      <c r="M297" s="296"/>
      <c r="N297" s="295"/>
      <c r="P297" s="296"/>
      <c r="T297" s="292"/>
    </row>
    <row r="298" ht="12.75" customHeight="1">
      <c r="D298" s="293"/>
      <c r="E298" s="107"/>
      <c r="F298" s="294"/>
      <c r="G298" s="295"/>
      <c r="J298" s="296"/>
      <c r="K298" s="295"/>
      <c r="M298" s="296"/>
      <c r="N298" s="295"/>
      <c r="P298" s="296"/>
      <c r="T298" s="292"/>
    </row>
    <row r="299" ht="12.75" customHeight="1">
      <c r="D299" s="293"/>
      <c r="E299" s="107"/>
      <c r="F299" s="294"/>
      <c r="G299" s="295"/>
      <c r="J299" s="296"/>
      <c r="K299" s="295"/>
      <c r="M299" s="296"/>
      <c r="N299" s="295"/>
      <c r="P299" s="296"/>
      <c r="T299" s="292"/>
    </row>
    <row r="300" ht="12.75" customHeight="1">
      <c r="D300" s="293"/>
      <c r="E300" s="107"/>
      <c r="F300" s="294"/>
      <c r="G300" s="295"/>
      <c r="J300" s="296"/>
      <c r="K300" s="295"/>
      <c r="M300" s="296"/>
      <c r="N300" s="295"/>
      <c r="P300" s="296"/>
      <c r="T300" s="292"/>
    </row>
    <row r="301" ht="12.75" customHeight="1">
      <c r="D301" s="293"/>
      <c r="E301" s="107"/>
      <c r="F301" s="294"/>
      <c r="G301" s="295"/>
      <c r="J301" s="296"/>
      <c r="K301" s="295"/>
      <c r="M301" s="296"/>
      <c r="N301" s="295"/>
      <c r="P301" s="296"/>
      <c r="T301" s="292"/>
    </row>
    <row r="302" ht="12.75" customHeight="1">
      <c r="D302" s="293"/>
      <c r="E302" s="107"/>
      <c r="F302" s="294"/>
      <c r="G302" s="295"/>
      <c r="J302" s="296"/>
      <c r="K302" s="295"/>
      <c r="M302" s="296"/>
      <c r="N302" s="295"/>
      <c r="P302" s="296"/>
      <c r="T302" s="292"/>
    </row>
    <row r="303" ht="12.75" customHeight="1">
      <c r="D303" s="293"/>
      <c r="E303" s="107"/>
      <c r="F303" s="294"/>
      <c r="G303" s="295"/>
      <c r="J303" s="296"/>
      <c r="K303" s="295"/>
      <c r="M303" s="296"/>
      <c r="N303" s="295"/>
      <c r="P303" s="296"/>
      <c r="T303" s="292"/>
    </row>
    <row r="304" ht="12.75" customHeight="1">
      <c r="D304" s="293"/>
      <c r="E304" s="107"/>
      <c r="F304" s="294"/>
      <c r="G304" s="295"/>
      <c r="J304" s="296"/>
      <c r="K304" s="295"/>
      <c r="M304" s="296"/>
      <c r="N304" s="295"/>
      <c r="P304" s="296"/>
      <c r="T304" s="292"/>
    </row>
    <row r="305" ht="12.75" customHeight="1">
      <c r="D305" s="293"/>
      <c r="E305" s="107"/>
      <c r="F305" s="294"/>
      <c r="G305" s="295"/>
      <c r="J305" s="296"/>
      <c r="K305" s="295"/>
      <c r="M305" s="296"/>
      <c r="N305" s="295"/>
      <c r="P305" s="296"/>
      <c r="T305" s="292"/>
    </row>
    <row r="306" ht="12.75" customHeight="1">
      <c r="D306" s="293"/>
      <c r="E306" s="107"/>
      <c r="F306" s="294"/>
      <c r="G306" s="295"/>
      <c r="J306" s="296"/>
      <c r="K306" s="295"/>
      <c r="M306" s="296"/>
      <c r="N306" s="295"/>
      <c r="P306" s="296"/>
      <c r="T306" s="292"/>
    </row>
    <row r="307" ht="12.75" customHeight="1">
      <c r="D307" s="293"/>
      <c r="E307" s="107"/>
      <c r="F307" s="294"/>
      <c r="G307" s="295"/>
      <c r="J307" s="296"/>
      <c r="K307" s="295"/>
      <c r="M307" s="296"/>
      <c r="N307" s="295"/>
      <c r="P307" s="296"/>
      <c r="T307" s="292"/>
    </row>
    <row r="308" ht="12.75" customHeight="1">
      <c r="D308" s="293"/>
      <c r="E308" s="107"/>
      <c r="F308" s="294"/>
      <c r="G308" s="295"/>
      <c r="J308" s="296"/>
      <c r="K308" s="295"/>
      <c r="M308" s="296"/>
      <c r="N308" s="295"/>
      <c r="P308" s="296"/>
      <c r="T308" s="292"/>
    </row>
    <row r="309" ht="12.75" customHeight="1">
      <c r="D309" s="293"/>
      <c r="E309" s="107"/>
      <c r="F309" s="294"/>
      <c r="G309" s="295"/>
      <c r="J309" s="296"/>
      <c r="K309" s="295"/>
      <c r="M309" s="296"/>
      <c r="N309" s="295"/>
      <c r="P309" s="296"/>
      <c r="T309" s="292"/>
    </row>
    <row r="310" ht="12.75" customHeight="1">
      <c r="D310" s="293"/>
      <c r="E310" s="107"/>
      <c r="F310" s="294"/>
      <c r="G310" s="295"/>
      <c r="J310" s="296"/>
      <c r="K310" s="295"/>
      <c r="M310" s="296"/>
      <c r="N310" s="295"/>
      <c r="P310" s="296"/>
      <c r="T310" s="292"/>
    </row>
    <row r="311" ht="12.75" customHeight="1">
      <c r="D311" s="293"/>
      <c r="E311" s="107"/>
      <c r="F311" s="294"/>
      <c r="G311" s="295"/>
      <c r="J311" s="296"/>
      <c r="K311" s="295"/>
      <c r="M311" s="296"/>
      <c r="N311" s="295"/>
      <c r="P311" s="296"/>
      <c r="T311" s="292"/>
    </row>
    <row r="312" ht="12.75" customHeight="1">
      <c r="D312" s="293"/>
      <c r="E312" s="107"/>
      <c r="F312" s="294"/>
      <c r="G312" s="295"/>
      <c r="J312" s="296"/>
      <c r="K312" s="295"/>
      <c r="M312" s="296"/>
      <c r="N312" s="295"/>
      <c r="P312" s="296"/>
      <c r="T312" s="292"/>
    </row>
    <row r="313" ht="12.75" customHeight="1">
      <c r="D313" s="293"/>
      <c r="E313" s="107"/>
      <c r="F313" s="294"/>
      <c r="G313" s="295"/>
      <c r="J313" s="296"/>
      <c r="K313" s="295"/>
      <c r="M313" s="296"/>
      <c r="N313" s="295"/>
      <c r="P313" s="296"/>
      <c r="T313" s="292"/>
    </row>
    <row r="314" ht="12.75" customHeight="1">
      <c r="D314" s="293"/>
      <c r="E314" s="107"/>
      <c r="F314" s="294"/>
      <c r="G314" s="295"/>
      <c r="J314" s="296"/>
      <c r="K314" s="295"/>
      <c r="M314" s="296"/>
      <c r="N314" s="295"/>
      <c r="P314" s="296"/>
      <c r="T314" s="292"/>
    </row>
    <row r="315" ht="12.75" customHeight="1">
      <c r="D315" s="293"/>
      <c r="E315" s="107"/>
      <c r="F315" s="294"/>
      <c r="G315" s="295"/>
      <c r="J315" s="296"/>
      <c r="K315" s="295"/>
      <c r="M315" s="296"/>
      <c r="N315" s="295"/>
      <c r="P315" s="296"/>
      <c r="T315" s="292"/>
    </row>
    <row r="316" ht="12.75" customHeight="1">
      <c r="D316" s="293"/>
      <c r="E316" s="107"/>
      <c r="F316" s="294"/>
      <c r="G316" s="295"/>
      <c r="J316" s="296"/>
      <c r="K316" s="295"/>
      <c r="M316" s="296"/>
      <c r="N316" s="295"/>
      <c r="P316" s="296"/>
      <c r="T316" s="292"/>
    </row>
    <row r="317" ht="12.75" customHeight="1">
      <c r="D317" s="293"/>
      <c r="E317" s="107"/>
      <c r="F317" s="294"/>
      <c r="G317" s="295"/>
      <c r="J317" s="296"/>
      <c r="K317" s="295"/>
      <c r="M317" s="296"/>
      <c r="N317" s="295"/>
      <c r="P317" s="296"/>
      <c r="T317" s="292"/>
    </row>
    <row r="318" ht="12.75" customHeight="1">
      <c r="D318" s="293"/>
      <c r="E318" s="107"/>
      <c r="F318" s="294"/>
      <c r="G318" s="295"/>
      <c r="J318" s="296"/>
      <c r="K318" s="295"/>
      <c r="M318" s="296"/>
      <c r="N318" s="295"/>
      <c r="P318" s="296"/>
      <c r="T318" s="292"/>
    </row>
    <row r="319" ht="12.75" customHeight="1">
      <c r="D319" s="293"/>
      <c r="E319" s="107"/>
      <c r="F319" s="294"/>
      <c r="G319" s="295"/>
      <c r="J319" s="296"/>
      <c r="K319" s="295"/>
      <c r="M319" s="296"/>
      <c r="N319" s="295"/>
      <c r="P319" s="296"/>
      <c r="T319" s="292"/>
    </row>
    <row r="320" ht="12.75" customHeight="1">
      <c r="D320" s="293"/>
      <c r="E320" s="107"/>
      <c r="F320" s="294"/>
      <c r="G320" s="295"/>
      <c r="J320" s="296"/>
      <c r="K320" s="295"/>
      <c r="M320" s="296"/>
      <c r="N320" s="295"/>
      <c r="P320" s="296"/>
      <c r="T320" s="292"/>
    </row>
    <row r="321" ht="12.75" customHeight="1">
      <c r="D321" s="293"/>
      <c r="E321" s="107"/>
      <c r="F321" s="294"/>
      <c r="G321" s="295"/>
      <c r="J321" s="296"/>
      <c r="K321" s="295"/>
      <c r="M321" s="296"/>
      <c r="N321" s="295"/>
      <c r="P321" s="296"/>
      <c r="T321" s="292"/>
    </row>
    <row r="322" ht="12.75" customHeight="1">
      <c r="D322" s="293"/>
      <c r="E322" s="107"/>
      <c r="F322" s="294"/>
      <c r="G322" s="295"/>
      <c r="J322" s="296"/>
      <c r="K322" s="295"/>
      <c r="M322" s="296"/>
      <c r="N322" s="295"/>
      <c r="P322" s="296"/>
      <c r="T322" s="292"/>
    </row>
    <row r="323" ht="12.75" customHeight="1">
      <c r="D323" s="293"/>
      <c r="E323" s="107"/>
      <c r="F323" s="294"/>
      <c r="G323" s="295"/>
      <c r="J323" s="296"/>
      <c r="K323" s="295"/>
      <c r="M323" s="296"/>
      <c r="N323" s="295"/>
      <c r="P323" s="296"/>
      <c r="T323" s="292"/>
    </row>
    <row r="324" ht="12.75" customHeight="1">
      <c r="D324" s="293"/>
      <c r="E324" s="107"/>
      <c r="F324" s="294"/>
      <c r="G324" s="295"/>
      <c r="J324" s="296"/>
      <c r="K324" s="295"/>
      <c r="M324" s="296"/>
      <c r="N324" s="295"/>
      <c r="P324" s="296"/>
      <c r="T324" s="292"/>
    </row>
    <row r="325" ht="12.75" customHeight="1">
      <c r="D325" s="293"/>
      <c r="E325" s="107"/>
      <c r="F325" s="294"/>
      <c r="G325" s="295"/>
      <c r="J325" s="296"/>
      <c r="K325" s="295"/>
      <c r="M325" s="296"/>
      <c r="N325" s="295"/>
      <c r="P325" s="296"/>
      <c r="T325" s="292"/>
    </row>
    <row r="326" ht="12.75" customHeight="1">
      <c r="D326" s="293"/>
      <c r="E326" s="107"/>
      <c r="F326" s="294"/>
      <c r="G326" s="295"/>
      <c r="J326" s="296"/>
      <c r="K326" s="295"/>
      <c r="M326" s="296"/>
      <c r="N326" s="295"/>
      <c r="P326" s="296"/>
      <c r="T326" s="292"/>
    </row>
    <row r="327" ht="12.75" customHeight="1">
      <c r="D327" s="293"/>
      <c r="E327" s="107"/>
      <c r="F327" s="294"/>
      <c r="G327" s="295"/>
      <c r="J327" s="296"/>
      <c r="K327" s="295"/>
      <c r="M327" s="296"/>
      <c r="N327" s="295"/>
      <c r="P327" s="296"/>
      <c r="T327" s="292"/>
    </row>
    <row r="328" ht="12.75" customHeight="1">
      <c r="D328" s="293"/>
      <c r="E328" s="107"/>
      <c r="F328" s="294"/>
      <c r="G328" s="295"/>
      <c r="J328" s="296"/>
      <c r="K328" s="295"/>
      <c r="M328" s="296"/>
      <c r="N328" s="295"/>
      <c r="P328" s="296"/>
      <c r="T328" s="292"/>
    </row>
    <row r="329" ht="12.75" customHeight="1">
      <c r="D329" s="293"/>
      <c r="E329" s="107"/>
      <c r="F329" s="294"/>
      <c r="G329" s="295"/>
      <c r="J329" s="296"/>
      <c r="K329" s="295"/>
      <c r="M329" s="296"/>
      <c r="N329" s="295"/>
      <c r="P329" s="296"/>
      <c r="T329" s="292"/>
    </row>
    <row r="330" ht="12.75" customHeight="1">
      <c r="D330" s="293"/>
      <c r="E330" s="107"/>
      <c r="F330" s="294"/>
      <c r="G330" s="295"/>
      <c r="J330" s="296"/>
      <c r="K330" s="295"/>
      <c r="M330" s="296"/>
      <c r="N330" s="295"/>
      <c r="P330" s="296"/>
      <c r="T330" s="292"/>
    </row>
    <row r="331" ht="12.75" customHeight="1">
      <c r="D331" s="293"/>
      <c r="E331" s="107"/>
      <c r="F331" s="294"/>
      <c r="G331" s="295"/>
      <c r="J331" s="296"/>
      <c r="K331" s="295"/>
      <c r="M331" s="296"/>
      <c r="N331" s="295"/>
      <c r="P331" s="296"/>
      <c r="T331" s="292"/>
    </row>
    <row r="332" ht="12.75" customHeight="1">
      <c r="D332" s="293"/>
      <c r="E332" s="107"/>
      <c r="F332" s="294"/>
      <c r="G332" s="295"/>
      <c r="J332" s="296"/>
      <c r="K332" s="295"/>
      <c r="M332" s="296"/>
      <c r="N332" s="295"/>
      <c r="P332" s="296"/>
      <c r="T332" s="292"/>
    </row>
    <row r="333" ht="12.75" customHeight="1">
      <c r="D333" s="293"/>
      <c r="E333" s="107"/>
      <c r="F333" s="294"/>
      <c r="G333" s="295"/>
      <c r="J333" s="296"/>
      <c r="K333" s="295"/>
      <c r="M333" s="296"/>
      <c r="N333" s="295"/>
      <c r="P333" s="296"/>
      <c r="T333" s="292"/>
    </row>
    <row r="334" ht="12.75" customHeight="1">
      <c r="D334" s="293"/>
      <c r="E334" s="107"/>
      <c r="F334" s="294"/>
      <c r="G334" s="295"/>
      <c r="J334" s="296"/>
      <c r="K334" s="295"/>
      <c r="M334" s="296"/>
      <c r="N334" s="295"/>
      <c r="P334" s="296"/>
      <c r="T334" s="292"/>
    </row>
    <row r="335" ht="12.75" customHeight="1">
      <c r="D335" s="293"/>
      <c r="E335" s="107"/>
      <c r="F335" s="294"/>
      <c r="G335" s="295"/>
      <c r="J335" s="296"/>
      <c r="K335" s="295"/>
      <c r="M335" s="296"/>
      <c r="N335" s="295"/>
      <c r="P335" s="296"/>
      <c r="T335" s="292"/>
    </row>
    <row r="336" ht="12.75" customHeight="1">
      <c r="D336" s="293"/>
      <c r="E336" s="107"/>
      <c r="F336" s="294"/>
      <c r="G336" s="295"/>
      <c r="J336" s="296"/>
      <c r="K336" s="295"/>
      <c r="M336" s="296"/>
      <c r="N336" s="295"/>
      <c r="P336" s="296"/>
      <c r="T336" s="292"/>
    </row>
    <row r="337" ht="12.75" customHeight="1">
      <c r="D337" s="293"/>
      <c r="E337" s="107"/>
      <c r="F337" s="294"/>
      <c r="G337" s="295"/>
      <c r="J337" s="296"/>
      <c r="K337" s="295"/>
      <c r="M337" s="296"/>
      <c r="N337" s="295"/>
      <c r="P337" s="296"/>
      <c r="T337" s="292"/>
    </row>
    <row r="338" ht="12.75" customHeight="1">
      <c r="D338" s="293"/>
      <c r="E338" s="107"/>
      <c r="F338" s="294"/>
      <c r="G338" s="295"/>
      <c r="J338" s="296"/>
      <c r="K338" s="295"/>
      <c r="M338" s="296"/>
      <c r="N338" s="295"/>
      <c r="P338" s="296"/>
      <c r="T338" s="292"/>
    </row>
    <row r="339" ht="12.75" customHeight="1">
      <c r="D339" s="293"/>
      <c r="E339" s="107"/>
      <c r="F339" s="294"/>
      <c r="G339" s="295"/>
      <c r="J339" s="296"/>
      <c r="K339" s="295"/>
      <c r="M339" s="296"/>
      <c r="N339" s="295"/>
      <c r="P339" s="296"/>
      <c r="T339" s="292"/>
    </row>
    <row r="340" ht="12.75" customHeight="1">
      <c r="D340" s="293"/>
      <c r="E340" s="107"/>
      <c r="F340" s="294"/>
      <c r="G340" s="295"/>
      <c r="J340" s="296"/>
      <c r="K340" s="295"/>
      <c r="M340" s="296"/>
      <c r="N340" s="295"/>
      <c r="P340" s="296"/>
      <c r="T340" s="292"/>
    </row>
    <row r="341" ht="12.75" customHeight="1">
      <c r="D341" s="293"/>
      <c r="E341" s="107"/>
      <c r="F341" s="294"/>
      <c r="G341" s="295"/>
      <c r="J341" s="296"/>
      <c r="K341" s="295"/>
      <c r="M341" s="296"/>
      <c r="N341" s="295"/>
      <c r="P341" s="296"/>
      <c r="T341" s="292"/>
    </row>
    <row r="342" ht="12.75" customHeight="1">
      <c r="D342" s="293"/>
      <c r="E342" s="107"/>
      <c r="F342" s="294"/>
      <c r="G342" s="295"/>
      <c r="J342" s="296"/>
      <c r="K342" s="295"/>
      <c r="M342" s="296"/>
      <c r="N342" s="295"/>
      <c r="P342" s="296"/>
      <c r="T342" s="292"/>
    </row>
    <row r="343" ht="12.75" customHeight="1">
      <c r="D343" s="293"/>
      <c r="E343" s="107"/>
      <c r="F343" s="294"/>
      <c r="G343" s="295"/>
      <c r="J343" s="296"/>
      <c r="K343" s="295"/>
      <c r="M343" s="296"/>
      <c r="N343" s="295"/>
      <c r="P343" s="296"/>
      <c r="T343" s="292"/>
    </row>
    <row r="344" ht="12.75" customHeight="1">
      <c r="D344" s="293"/>
      <c r="E344" s="107"/>
      <c r="F344" s="294"/>
      <c r="G344" s="295"/>
      <c r="J344" s="296"/>
      <c r="K344" s="295"/>
      <c r="M344" s="296"/>
      <c r="N344" s="295"/>
      <c r="P344" s="296"/>
      <c r="T344" s="292"/>
    </row>
    <row r="345" ht="12.75" customHeight="1">
      <c r="D345" s="293"/>
      <c r="E345" s="107"/>
      <c r="F345" s="294"/>
      <c r="G345" s="295"/>
      <c r="J345" s="296"/>
      <c r="K345" s="295"/>
      <c r="M345" s="296"/>
      <c r="N345" s="295"/>
      <c r="P345" s="296"/>
      <c r="T345" s="292"/>
    </row>
    <row r="346" ht="12.75" customHeight="1">
      <c r="D346" s="293"/>
      <c r="E346" s="107"/>
      <c r="F346" s="294"/>
      <c r="G346" s="295"/>
      <c r="J346" s="296"/>
      <c r="K346" s="295"/>
      <c r="M346" s="296"/>
      <c r="N346" s="295"/>
      <c r="P346" s="296"/>
      <c r="T346" s="292"/>
    </row>
    <row r="347" ht="12.75" customHeight="1">
      <c r="D347" s="293"/>
      <c r="E347" s="107"/>
      <c r="F347" s="294"/>
      <c r="G347" s="295"/>
      <c r="J347" s="296"/>
      <c r="K347" s="295"/>
      <c r="M347" s="296"/>
      <c r="N347" s="295"/>
      <c r="P347" s="296"/>
      <c r="T347" s="292"/>
    </row>
    <row r="348" ht="12.75" customHeight="1">
      <c r="D348" s="293"/>
      <c r="E348" s="107"/>
      <c r="F348" s="294"/>
      <c r="G348" s="295"/>
      <c r="J348" s="296"/>
      <c r="K348" s="295"/>
      <c r="M348" s="296"/>
      <c r="N348" s="295"/>
      <c r="P348" s="296"/>
      <c r="T348" s="292"/>
    </row>
    <row r="349" ht="12.75" customHeight="1">
      <c r="D349" s="293"/>
      <c r="E349" s="107"/>
      <c r="F349" s="294"/>
      <c r="G349" s="295"/>
      <c r="J349" s="296"/>
      <c r="K349" s="295"/>
      <c r="M349" s="296"/>
      <c r="N349" s="295"/>
      <c r="P349" s="296"/>
      <c r="T349" s="292"/>
    </row>
    <row r="350" ht="12.75" customHeight="1">
      <c r="D350" s="293"/>
      <c r="E350" s="107"/>
      <c r="F350" s="294"/>
      <c r="G350" s="295"/>
      <c r="J350" s="296"/>
      <c r="K350" s="295"/>
      <c r="M350" s="296"/>
      <c r="N350" s="295"/>
      <c r="P350" s="296"/>
      <c r="T350" s="292"/>
    </row>
    <row r="351" ht="12.75" customHeight="1">
      <c r="D351" s="293"/>
      <c r="E351" s="107"/>
      <c r="F351" s="294"/>
      <c r="G351" s="295"/>
      <c r="J351" s="296"/>
      <c r="K351" s="295"/>
      <c r="M351" s="296"/>
      <c r="N351" s="295"/>
      <c r="P351" s="296"/>
      <c r="T351" s="292"/>
    </row>
    <row r="352" ht="12.75" customHeight="1">
      <c r="D352" s="293"/>
      <c r="E352" s="107"/>
      <c r="F352" s="294"/>
      <c r="G352" s="295"/>
      <c r="J352" s="296"/>
      <c r="K352" s="295"/>
      <c r="M352" s="296"/>
      <c r="N352" s="295"/>
      <c r="P352" s="296"/>
      <c r="T352" s="292"/>
    </row>
    <row r="353" ht="12.75" customHeight="1">
      <c r="D353" s="293"/>
      <c r="E353" s="107"/>
      <c r="F353" s="294"/>
      <c r="G353" s="295"/>
      <c r="J353" s="296"/>
      <c r="K353" s="295"/>
      <c r="M353" s="296"/>
      <c r="N353" s="295"/>
      <c r="P353" s="296"/>
      <c r="T353" s="292"/>
    </row>
    <row r="354" ht="12.75" customHeight="1">
      <c r="D354" s="293"/>
      <c r="E354" s="107"/>
      <c r="F354" s="294"/>
      <c r="G354" s="295"/>
      <c r="J354" s="296"/>
      <c r="K354" s="295"/>
      <c r="M354" s="296"/>
      <c r="N354" s="295"/>
      <c r="P354" s="296"/>
      <c r="T354" s="292"/>
    </row>
    <row r="355" ht="12.75" customHeight="1">
      <c r="D355" s="293"/>
      <c r="E355" s="107"/>
      <c r="F355" s="294"/>
      <c r="G355" s="295"/>
      <c r="J355" s="296"/>
      <c r="K355" s="295"/>
      <c r="M355" s="296"/>
      <c r="N355" s="295"/>
      <c r="P355" s="296"/>
      <c r="T355" s="292"/>
    </row>
    <row r="356" ht="12.75" customHeight="1">
      <c r="D356" s="293"/>
      <c r="E356" s="107"/>
      <c r="F356" s="294"/>
      <c r="G356" s="295"/>
      <c r="J356" s="296"/>
      <c r="K356" s="295"/>
      <c r="M356" s="296"/>
      <c r="N356" s="295"/>
      <c r="P356" s="296"/>
      <c r="T356" s="292"/>
    </row>
    <row r="357" ht="12.75" customHeight="1">
      <c r="D357" s="293"/>
      <c r="E357" s="107"/>
      <c r="F357" s="294"/>
      <c r="G357" s="295"/>
      <c r="J357" s="296"/>
      <c r="K357" s="295"/>
      <c r="M357" s="296"/>
      <c r="N357" s="295"/>
      <c r="P357" s="296"/>
      <c r="T357" s="292"/>
    </row>
    <row r="358" ht="12.75" customHeight="1">
      <c r="D358" s="293"/>
      <c r="E358" s="107"/>
      <c r="F358" s="294"/>
      <c r="G358" s="295"/>
      <c r="J358" s="296"/>
      <c r="K358" s="295"/>
      <c r="M358" s="296"/>
      <c r="N358" s="295"/>
      <c r="P358" s="296"/>
      <c r="T358" s="292"/>
    </row>
    <row r="359" ht="12.75" customHeight="1">
      <c r="D359" s="293"/>
      <c r="E359" s="107"/>
      <c r="F359" s="294"/>
      <c r="G359" s="295"/>
      <c r="J359" s="296"/>
      <c r="K359" s="295"/>
      <c r="M359" s="296"/>
      <c r="N359" s="295"/>
      <c r="P359" s="296"/>
      <c r="T359" s="292"/>
    </row>
    <row r="360" ht="12.75" customHeight="1">
      <c r="D360" s="293"/>
      <c r="E360" s="107"/>
      <c r="F360" s="294"/>
      <c r="G360" s="295"/>
      <c r="J360" s="296"/>
      <c r="K360" s="295"/>
      <c r="M360" s="296"/>
      <c r="N360" s="295"/>
      <c r="P360" s="296"/>
      <c r="T360" s="292"/>
    </row>
    <row r="361" ht="12.75" customHeight="1">
      <c r="D361" s="293"/>
      <c r="E361" s="107"/>
      <c r="F361" s="294"/>
      <c r="G361" s="295"/>
      <c r="J361" s="296"/>
      <c r="K361" s="295"/>
      <c r="M361" s="296"/>
      <c r="N361" s="295"/>
      <c r="P361" s="296"/>
      <c r="T361" s="292"/>
    </row>
    <row r="362" ht="12.75" customHeight="1">
      <c r="D362" s="293"/>
      <c r="E362" s="107"/>
      <c r="F362" s="294"/>
      <c r="G362" s="295"/>
      <c r="J362" s="296"/>
      <c r="K362" s="295"/>
      <c r="M362" s="296"/>
      <c r="N362" s="295"/>
      <c r="P362" s="296"/>
      <c r="T362" s="292"/>
    </row>
    <row r="363" ht="12.75" customHeight="1">
      <c r="D363" s="293"/>
      <c r="E363" s="107"/>
      <c r="F363" s="294"/>
      <c r="G363" s="295"/>
      <c r="J363" s="296"/>
      <c r="K363" s="295"/>
      <c r="M363" s="296"/>
      <c r="N363" s="295"/>
      <c r="P363" s="296"/>
      <c r="T363" s="292"/>
    </row>
    <row r="364" ht="12.75" customHeight="1">
      <c r="D364" s="293"/>
      <c r="E364" s="107"/>
      <c r="F364" s="294"/>
      <c r="G364" s="295"/>
      <c r="J364" s="296"/>
      <c r="K364" s="295"/>
      <c r="M364" s="296"/>
      <c r="N364" s="295"/>
      <c r="P364" s="296"/>
      <c r="T364" s="292"/>
    </row>
    <row r="365" ht="12.75" customHeight="1">
      <c r="D365" s="293"/>
      <c r="E365" s="107"/>
      <c r="F365" s="294"/>
      <c r="G365" s="295"/>
      <c r="J365" s="296"/>
      <c r="K365" s="295"/>
      <c r="M365" s="296"/>
      <c r="N365" s="295"/>
      <c r="P365" s="296"/>
      <c r="T365" s="292"/>
    </row>
    <row r="366" ht="12.75" customHeight="1">
      <c r="D366" s="293"/>
      <c r="E366" s="107"/>
      <c r="F366" s="294"/>
      <c r="G366" s="295"/>
      <c r="J366" s="296"/>
      <c r="K366" s="295"/>
      <c r="M366" s="296"/>
      <c r="N366" s="295"/>
      <c r="P366" s="296"/>
      <c r="T366" s="292"/>
    </row>
    <row r="367" ht="12.75" customHeight="1">
      <c r="D367" s="293"/>
      <c r="E367" s="107"/>
      <c r="F367" s="294"/>
      <c r="G367" s="295"/>
      <c r="J367" s="296"/>
      <c r="K367" s="295"/>
      <c r="M367" s="296"/>
      <c r="N367" s="295"/>
      <c r="P367" s="296"/>
      <c r="T367" s="292"/>
    </row>
    <row r="368" ht="12.75" customHeight="1">
      <c r="D368" s="293"/>
      <c r="E368" s="107"/>
      <c r="F368" s="294"/>
      <c r="G368" s="295"/>
      <c r="J368" s="296"/>
      <c r="K368" s="295"/>
      <c r="M368" s="296"/>
      <c r="N368" s="295"/>
      <c r="P368" s="296"/>
      <c r="T368" s="292"/>
    </row>
    <row r="369" ht="12.75" customHeight="1">
      <c r="D369" s="293"/>
      <c r="E369" s="107"/>
      <c r="F369" s="294"/>
      <c r="G369" s="295"/>
      <c r="J369" s="296"/>
      <c r="K369" s="295"/>
      <c r="M369" s="296"/>
      <c r="N369" s="295"/>
      <c r="P369" s="296"/>
      <c r="T369" s="292"/>
    </row>
    <row r="370" ht="12.75" customHeight="1">
      <c r="D370" s="293"/>
      <c r="E370" s="107"/>
      <c r="F370" s="294"/>
      <c r="G370" s="295"/>
      <c r="J370" s="296"/>
      <c r="K370" s="295"/>
      <c r="M370" s="296"/>
      <c r="N370" s="295"/>
      <c r="P370" s="296"/>
      <c r="T370" s="292"/>
    </row>
    <row r="371" ht="12.75" customHeight="1">
      <c r="D371" s="293"/>
      <c r="E371" s="107"/>
      <c r="F371" s="294"/>
      <c r="G371" s="295"/>
      <c r="J371" s="296"/>
      <c r="K371" s="295"/>
      <c r="M371" s="296"/>
      <c r="N371" s="295"/>
      <c r="P371" s="296"/>
      <c r="T371" s="292"/>
    </row>
    <row r="372" ht="12.75" customHeight="1">
      <c r="D372" s="293"/>
      <c r="E372" s="107"/>
      <c r="F372" s="294"/>
      <c r="G372" s="295"/>
      <c r="J372" s="296"/>
      <c r="K372" s="295"/>
      <c r="M372" s="296"/>
      <c r="N372" s="295"/>
      <c r="P372" s="296"/>
      <c r="T372" s="292"/>
    </row>
    <row r="373" ht="12.75" customHeight="1">
      <c r="D373" s="293"/>
      <c r="E373" s="107"/>
      <c r="F373" s="294"/>
      <c r="G373" s="295"/>
      <c r="J373" s="296"/>
      <c r="K373" s="295"/>
      <c r="M373" s="296"/>
      <c r="N373" s="295"/>
      <c r="P373" s="296"/>
      <c r="T373" s="292"/>
    </row>
    <row r="374" ht="12.75" customHeight="1">
      <c r="D374" s="293"/>
      <c r="E374" s="107"/>
      <c r="F374" s="294"/>
      <c r="G374" s="295"/>
      <c r="J374" s="296"/>
      <c r="K374" s="295"/>
      <c r="M374" s="296"/>
      <c r="N374" s="295"/>
      <c r="P374" s="296"/>
      <c r="T374" s="292"/>
    </row>
    <row r="375" ht="12.75" customHeight="1">
      <c r="D375" s="293"/>
      <c r="E375" s="107"/>
      <c r="F375" s="294"/>
      <c r="G375" s="295"/>
      <c r="J375" s="296"/>
      <c r="K375" s="295"/>
      <c r="M375" s="296"/>
      <c r="N375" s="295"/>
      <c r="P375" s="296"/>
      <c r="T375" s="292"/>
    </row>
    <row r="376" ht="12.75" customHeight="1">
      <c r="D376" s="293"/>
      <c r="E376" s="107"/>
      <c r="F376" s="294"/>
      <c r="G376" s="295"/>
      <c r="J376" s="296"/>
      <c r="K376" s="295"/>
      <c r="M376" s="296"/>
      <c r="N376" s="295"/>
      <c r="P376" s="296"/>
      <c r="T376" s="292"/>
    </row>
    <row r="377" ht="12.75" customHeight="1">
      <c r="D377" s="293"/>
      <c r="E377" s="107"/>
      <c r="F377" s="294"/>
      <c r="G377" s="295"/>
      <c r="J377" s="296"/>
      <c r="K377" s="295"/>
      <c r="M377" s="296"/>
      <c r="N377" s="295"/>
      <c r="P377" s="296"/>
      <c r="T377" s="292"/>
    </row>
    <row r="378" ht="12.75" customHeight="1">
      <c r="D378" s="293"/>
      <c r="E378" s="107"/>
      <c r="F378" s="294"/>
      <c r="G378" s="295"/>
      <c r="J378" s="296"/>
      <c r="K378" s="295"/>
      <c r="M378" s="296"/>
      <c r="N378" s="295"/>
      <c r="P378" s="296"/>
      <c r="T378" s="292"/>
    </row>
    <row r="379" ht="12.75" customHeight="1">
      <c r="D379" s="293"/>
      <c r="E379" s="107"/>
      <c r="F379" s="294"/>
      <c r="G379" s="295"/>
      <c r="J379" s="296"/>
      <c r="K379" s="295"/>
      <c r="M379" s="296"/>
      <c r="N379" s="295"/>
      <c r="P379" s="296"/>
      <c r="T379" s="292"/>
    </row>
    <row r="380" ht="12.75" customHeight="1">
      <c r="D380" s="293"/>
      <c r="E380" s="107"/>
      <c r="F380" s="294"/>
      <c r="G380" s="295"/>
      <c r="J380" s="296"/>
      <c r="K380" s="295"/>
      <c r="M380" s="296"/>
      <c r="N380" s="295"/>
      <c r="P380" s="296"/>
      <c r="T380" s="292"/>
    </row>
    <row r="381" ht="12.75" customHeight="1">
      <c r="D381" s="293"/>
      <c r="E381" s="107"/>
      <c r="F381" s="294"/>
      <c r="G381" s="295"/>
      <c r="J381" s="296"/>
      <c r="K381" s="295"/>
      <c r="M381" s="296"/>
      <c r="N381" s="295"/>
      <c r="P381" s="296"/>
      <c r="T381" s="292"/>
    </row>
    <row r="382" ht="12.75" customHeight="1">
      <c r="D382" s="293"/>
      <c r="E382" s="107"/>
      <c r="F382" s="294"/>
      <c r="G382" s="295"/>
      <c r="J382" s="296"/>
      <c r="K382" s="295"/>
      <c r="M382" s="296"/>
      <c r="N382" s="295"/>
      <c r="P382" s="296"/>
      <c r="T382" s="292"/>
    </row>
    <row r="383" ht="12.75" customHeight="1">
      <c r="D383" s="293"/>
      <c r="E383" s="107"/>
      <c r="F383" s="294"/>
      <c r="G383" s="295"/>
      <c r="J383" s="296"/>
      <c r="K383" s="295"/>
      <c r="M383" s="296"/>
      <c r="N383" s="295"/>
      <c r="P383" s="296"/>
      <c r="T383" s="292"/>
    </row>
    <row r="384" ht="12.75" customHeight="1">
      <c r="D384" s="293"/>
      <c r="E384" s="107"/>
      <c r="F384" s="294"/>
      <c r="G384" s="295"/>
      <c r="J384" s="296"/>
      <c r="K384" s="295"/>
      <c r="M384" s="296"/>
      <c r="N384" s="295"/>
      <c r="P384" s="296"/>
      <c r="T384" s="292"/>
    </row>
    <row r="385" ht="12.75" customHeight="1">
      <c r="D385" s="293"/>
      <c r="E385" s="107"/>
      <c r="F385" s="294"/>
      <c r="G385" s="295"/>
      <c r="J385" s="296"/>
      <c r="K385" s="295"/>
      <c r="M385" s="296"/>
      <c r="N385" s="295"/>
      <c r="P385" s="296"/>
      <c r="T385" s="292"/>
    </row>
    <row r="386" ht="12.75" customHeight="1">
      <c r="D386" s="293"/>
      <c r="E386" s="107"/>
      <c r="F386" s="294"/>
      <c r="G386" s="295"/>
      <c r="J386" s="296"/>
      <c r="K386" s="295"/>
      <c r="M386" s="296"/>
      <c r="N386" s="295"/>
      <c r="P386" s="296"/>
      <c r="T386" s="292"/>
    </row>
    <row r="387" ht="12.75" customHeight="1">
      <c r="D387" s="293"/>
      <c r="E387" s="107"/>
      <c r="F387" s="294"/>
      <c r="G387" s="295"/>
      <c r="J387" s="296"/>
      <c r="K387" s="295"/>
      <c r="M387" s="296"/>
      <c r="N387" s="295"/>
      <c r="P387" s="296"/>
      <c r="T387" s="292"/>
    </row>
    <row r="388" ht="12.75" customHeight="1">
      <c r="D388" s="293"/>
      <c r="E388" s="107"/>
      <c r="F388" s="294"/>
      <c r="G388" s="295"/>
      <c r="J388" s="296"/>
      <c r="K388" s="295"/>
      <c r="M388" s="296"/>
      <c r="N388" s="295"/>
      <c r="P388" s="296"/>
      <c r="T388" s="292"/>
    </row>
    <row r="389" ht="12.75" customHeight="1">
      <c r="D389" s="293"/>
      <c r="E389" s="107"/>
      <c r="F389" s="294"/>
      <c r="G389" s="295"/>
      <c r="J389" s="296"/>
      <c r="K389" s="295"/>
      <c r="M389" s="296"/>
      <c r="N389" s="295"/>
      <c r="P389" s="296"/>
      <c r="T389" s="292"/>
    </row>
    <row r="390" ht="12.75" customHeight="1">
      <c r="D390" s="293"/>
      <c r="E390" s="107"/>
      <c r="F390" s="294"/>
      <c r="G390" s="295"/>
      <c r="J390" s="296"/>
      <c r="K390" s="295"/>
      <c r="M390" s="296"/>
      <c r="N390" s="295"/>
      <c r="P390" s="296"/>
      <c r="T390" s="292"/>
    </row>
    <row r="391" ht="12.75" customHeight="1">
      <c r="D391" s="293"/>
      <c r="E391" s="107"/>
      <c r="F391" s="294"/>
      <c r="G391" s="295"/>
      <c r="J391" s="296"/>
      <c r="K391" s="295"/>
      <c r="M391" s="296"/>
      <c r="N391" s="295"/>
      <c r="P391" s="296"/>
      <c r="T391" s="292"/>
    </row>
    <row r="392" ht="12.75" customHeight="1">
      <c r="D392" s="293"/>
      <c r="E392" s="107"/>
      <c r="F392" s="294"/>
      <c r="G392" s="295"/>
      <c r="J392" s="296"/>
      <c r="K392" s="295"/>
      <c r="M392" s="296"/>
      <c r="N392" s="295"/>
      <c r="P392" s="296"/>
      <c r="T392" s="292"/>
    </row>
    <row r="393" ht="12.75" customHeight="1">
      <c r="D393" s="293"/>
      <c r="E393" s="107"/>
      <c r="F393" s="294"/>
      <c r="G393" s="295"/>
      <c r="J393" s="296"/>
      <c r="K393" s="295"/>
      <c r="M393" s="296"/>
      <c r="N393" s="295"/>
      <c r="P393" s="296"/>
      <c r="T393" s="292"/>
    </row>
    <row r="394" ht="12.75" customHeight="1">
      <c r="D394" s="293"/>
      <c r="E394" s="107"/>
      <c r="F394" s="294"/>
      <c r="G394" s="295"/>
      <c r="J394" s="296"/>
      <c r="K394" s="295"/>
      <c r="M394" s="296"/>
      <c r="N394" s="295"/>
      <c r="P394" s="296"/>
      <c r="T394" s="292"/>
    </row>
    <row r="395" ht="12.75" customHeight="1">
      <c r="D395" s="293"/>
      <c r="E395" s="107"/>
      <c r="F395" s="294"/>
      <c r="G395" s="295"/>
      <c r="J395" s="296"/>
      <c r="K395" s="295"/>
      <c r="M395" s="296"/>
      <c r="N395" s="295"/>
      <c r="P395" s="296"/>
      <c r="T395" s="292"/>
    </row>
    <row r="396" ht="12.75" customHeight="1">
      <c r="D396" s="293"/>
      <c r="E396" s="107"/>
      <c r="F396" s="294"/>
      <c r="G396" s="295"/>
      <c r="J396" s="296"/>
      <c r="K396" s="295"/>
      <c r="M396" s="296"/>
      <c r="N396" s="295"/>
      <c r="P396" s="296"/>
      <c r="T396" s="292"/>
    </row>
    <row r="397" ht="12.75" customHeight="1">
      <c r="D397" s="293"/>
      <c r="E397" s="107"/>
      <c r="F397" s="294"/>
      <c r="G397" s="295"/>
      <c r="J397" s="296"/>
      <c r="K397" s="295"/>
      <c r="M397" s="296"/>
      <c r="N397" s="295"/>
      <c r="P397" s="296"/>
      <c r="T397" s="292"/>
    </row>
    <row r="398" ht="12.75" customHeight="1">
      <c r="D398" s="293"/>
      <c r="E398" s="107"/>
      <c r="F398" s="294"/>
      <c r="G398" s="295"/>
      <c r="J398" s="296"/>
      <c r="K398" s="295"/>
      <c r="M398" s="296"/>
      <c r="N398" s="295"/>
      <c r="P398" s="296"/>
      <c r="T398" s="292"/>
    </row>
    <row r="399" ht="12.75" customHeight="1">
      <c r="D399" s="293"/>
      <c r="E399" s="107"/>
      <c r="F399" s="294"/>
      <c r="G399" s="295"/>
      <c r="J399" s="296"/>
      <c r="K399" s="295"/>
      <c r="M399" s="296"/>
      <c r="N399" s="295"/>
      <c r="P399" s="296"/>
      <c r="T399" s="292"/>
    </row>
    <row r="400" ht="12.75" customHeight="1">
      <c r="D400" s="293"/>
      <c r="E400" s="107"/>
      <c r="F400" s="294"/>
      <c r="G400" s="295"/>
      <c r="J400" s="296"/>
      <c r="K400" s="295"/>
      <c r="M400" s="296"/>
      <c r="N400" s="295"/>
      <c r="P400" s="296"/>
      <c r="T400" s="292"/>
    </row>
    <row r="401" ht="12.75" customHeight="1">
      <c r="D401" s="293"/>
      <c r="E401" s="107"/>
      <c r="F401" s="294"/>
      <c r="G401" s="295"/>
      <c r="J401" s="296"/>
      <c r="K401" s="295"/>
      <c r="M401" s="296"/>
      <c r="N401" s="295"/>
      <c r="P401" s="296"/>
      <c r="T401" s="292"/>
    </row>
    <row r="402" ht="12.75" customHeight="1">
      <c r="D402" s="293"/>
      <c r="E402" s="107"/>
      <c r="F402" s="294"/>
      <c r="G402" s="295"/>
      <c r="J402" s="296"/>
      <c r="K402" s="295"/>
      <c r="M402" s="296"/>
      <c r="N402" s="295"/>
      <c r="P402" s="296"/>
      <c r="T402" s="292"/>
    </row>
    <row r="403" ht="12.75" customHeight="1">
      <c r="D403" s="293"/>
      <c r="E403" s="107"/>
      <c r="F403" s="294"/>
      <c r="G403" s="295"/>
      <c r="J403" s="296"/>
      <c r="K403" s="295"/>
      <c r="M403" s="296"/>
      <c r="N403" s="295"/>
      <c r="P403" s="296"/>
      <c r="T403" s="292"/>
    </row>
    <row r="404" ht="12.75" customHeight="1">
      <c r="D404" s="293"/>
      <c r="E404" s="107"/>
      <c r="F404" s="294"/>
      <c r="G404" s="295"/>
      <c r="J404" s="296"/>
      <c r="K404" s="295"/>
      <c r="M404" s="296"/>
      <c r="N404" s="295"/>
      <c r="P404" s="296"/>
      <c r="T404" s="292"/>
    </row>
    <row r="405" ht="12.75" customHeight="1">
      <c r="D405" s="293"/>
      <c r="E405" s="107"/>
      <c r="F405" s="294"/>
      <c r="G405" s="295"/>
      <c r="J405" s="296"/>
      <c r="K405" s="295"/>
      <c r="M405" s="296"/>
      <c r="N405" s="295"/>
      <c r="P405" s="296"/>
      <c r="T405" s="292"/>
    </row>
    <row r="406" ht="12.75" customHeight="1">
      <c r="D406" s="293"/>
      <c r="E406" s="107"/>
      <c r="F406" s="294"/>
      <c r="G406" s="295"/>
      <c r="J406" s="296"/>
      <c r="K406" s="295"/>
      <c r="M406" s="296"/>
      <c r="N406" s="295"/>
      <c r="P406" s="296"/>
      <c r="T406" s="292"/>
    </row>
    <row r="407" ht="12.75" customHeight="1">
      <c r="D407" s="293"/>
      <c r="E407" s="107"/>
      <c r="F407" s="294"/>
      <c r="G407" s="295"/>
      <c r="J407" s="296"/>
      <c r="K407" s="295"/>
      <c r="M407" s="296"/>
      <c r="N407" s="295"/>
      <c r="P407" s="296"/>
      <c r="T407" s="292"/>
    </row>
    <row r="408" ht="12.75" customHeight="1">
      <c r="D408" s="293"/>
      <c r="E408" s="107"/>
      <c r="F408" s="294"/>
      <c r="G408" s="295"/>
      <c r="J408" s="296"/>
      <c r="K408" s="295"/>
      <c r="M408" s="296"/>
      <c r="N408" s="295"/>
      <c r="P408" s="296"/>
      <c r="T408" s="292"/>
    </row>
    <row r="409" ht="12.75" customHeight="1">
      <c r="D409" s="293"/>
      <c r="E409" s="107"/>
      <c r="F409" s="294"/>
      <c r="G409" s="295"/>
      <c r="J409" s="296"/>
      <c r="K409" s="295"/>
      <c r="M409" s="296"/>
      <c r="N409" s="295"/>
      <c r="P409" s="296"/>
      <c r="T409" s="292"/>
    </row>
    <row r="410" ht="12.75" customHeight="1">
      <c r="D410" s="293"/>
      <c r="E410" s="107"/>
      <c r="F410" s="294"/>
      <c r="G410" s="295"/>
      <c r="J410" s="296"/>
      <c r="K410" s="295"/>
      <c r="M410" s="296"/>
      <c r="N410" s="295"/>
      <c r="P410" s="296"/>
      <c r="T410" s="292"/>
    </row>
    <row r="411" ht="12.75" customHeight="1">
      <c r="D411" s="293"/>
      <c r="E411" s="107"/>
      <c r="F411" s="294"/>
      <c r="G411" s="295"/>
      <c r="J411" s="296"/>
      <c r="K411" s="295"/>
      <c r="M411" s="296"/>
      <c r="N411" s="295"/>
      <c r="P411" s="296"/>
      <c r="T411" s="292"/>
    </row>
    <row r="412" ht="12.75" customHeight="1">
      <c r="D412" s="293"/>
      <c r="E412" s="107"/>
      <c r="F412" s="294"/>
      <c r="G412" s="295"/>
      <c r="J412" s="296"/>
      <c r="K412" s="295"/>
      <c r="M412" s="296"/>
      <c r="N412" s="295"/>
      <c r="P412" s="296"/>
      <c r="T412" s="292"/>
    </row>
    <row r="413" ht="12.75" customHeight="1">
      <c r="D413" s="293"/>
      <c r="E413" s="107"/>
      <c r="F413" s="294"/>
      <c r="G413" s="295"/>
      <c r="J413" s="296"/>
      <c r="K413" s="295"/>
      <c r="M413" s="296"/>
      <c r="N413" s="295"/>
      <c r="P413" s="296"/>
      <c r="T413" s="292"/>
    </row>
    <row r="414" ht="12.75" customHeight="1">
      <c r="D414" s="293"/>
      <c r="E414" s="107"/>
      <c r="F414" s="294"/>
      <c r="G414" s="295"/>
      <c r="J414" s="296"/>
      <c r="K414" s="295"/>
      <c r="M414" s="296"/>
      <c r="N414" s="295"/>
      <c r="P414" s="296"/>
      <c r="T414" s="292"/>
    </row>
    <row r="415" ht="12.75" customHeight="1">
      <c r="D415" s="293"/>
      <c r="E415" s="107"/>
      <c r="F415" s="294"/>
      <c r="G415" s="295"/>
      <c r="J415" s="296"/>
      <c r="K415" s="295"/>
      <c r="M415" s="296"/>
      <c r="N415" s="295"/>
      <c r="P415" s="296"/>
      <c r="T415" s="292"/>
    </row>
    <row r="416" ht="12.75" customHeight="1">
      <c r="D416" s="293"/>
      <c r="E416" s="107"/>
      <c r="F416" s="294"/>
      <c r="G416" s="295"/>
      <c r="J416" s="296"/>
      <c r="K416" s="295"/>
      <c r="M416" s="296"/>
      <c r="N416" s="295"/>
      <c r="P416" s="296"/>
      <c r="T416" s="292"/>
    </row>
    <row r="417" ht="12.75" customHeight="1">
      <c r="D417" s="293"/>
      <c r="E417" s="107"/>
      <c r="F417" s="294"/>
      <c r="G417" s="295"/>
      <c r="J417" s="296"/>
      <c r="K417" s="295"/>
      <c r="M417" s="296"/>
      <c r="N417" s="295"/>
      <c r="P417" s="296"/>
      <c r="T417" s="292"/>
    </row>
    <row r="418" ht="12.75" customHeight="1">
      <c r="D418" s="293"/>
      <c r="E418" s="107"/>
      <c r="F418" s="294"/>
      <c r="G418" s="295"/>
      <c r="J418" s="296"/>
      <c r="K418" s="295"/>
      <c r="M418" s="296"/>
      <c r="N418" s="295"/>
      <c r="P418" s="296"/>
      <c r="T418" s="292"/>
    </row>
    <row r="419" ht="12.75" customHeight="1">
      <c r="D419" s="293"/>
      <c r="E419" s="107"/>
      <c r="F419" s="294"/>
      <c r="G419" s="295"/>
      <c r="J419" s="296"/>
      <c r="K419" s="295"/>
      <c r="M419" s="296"/>
      <c r="N419" s="295"/>
      <c r="P419" s="296"/>
      <c r="T419" s="292"/>
    </row>
    <row r="420" ht="12.75" customHeight="1">
      <c r="D420" s="293"/>
      <c r="E420" s="107"/>
      <c r="F420" s="294"/>
      <c r="G420" s="295"/>
      <c r="J420" s="296"/>
      <c r="K420" s="295"/>
      <c r="M420" s="296"/>
      <c r="N420" s="295"/>
      <c r="P420" s="296"/>
      <c r="T420" s="292"/>
    </row>
    <row r="421" ht="12.75" customHeight="1">
      <c r="D421" s="293"/>
      <c r="E421" s="107"/>
      <c r="F421" s="294"/>
      <c r="G421" s="295"/>
      <c r="J421" s="296"/>
      <c r="K421" s="295"/>
      <c r="M421" s="296"/>
      <c r="N421" s="295"/>
      <c r="P421" s="296"/>
      <c r="T421" s="292"/>
    </row>
    <row r="422" ht="12.75" customHeight="1">
      <c r="D422" s="293"/>
      <c r="E422" s="107"/>
      <c r="F422" s="294"/>
      <c r="G422" s="295"/>
      <c r="J422" s="296"/>
      <c r="K422" s="295"/>
      <c r="M422" s="296"/>
      <c r="N422" s="295"/>
      <c r="P422" s="296"/>
      <c r="T422" s="292"/>
    </row>
    <row r="423" ht="12.75" customHeight="1">
      <c r="D423" s="293"/>
      <c r="E423" s="107"/>
      <c r="F423" s="294"/>
      <c r="G423" s="295"/>
      <c r="J423" s="296"/>
      <c r="K423" s="295"/>
      <c r="M423" s="296"/>
      <c r="N423" s="295"/>
      <c r="P423" s="296"/>
      <c r="T423" s="292"/>
    </row>
    <row r="424" ht="12.75" customHeight="1">
      <c r="D424" s="293"/>
      <c r="E424" s="107"/>
      <c r="F424" s="294"/>
      <c r="G424" s="295"/>
      <c r="J424" s="296"/>
      <c r="K424" s="295"/>
      <c r="M424" s="296"/>
      <c r="N424" s="295"/>
      <c r="P424" s="296"/>
      <c r="T424" s="292"/>
    </row>
    <row r="425" ht="12.75" customHeight="1">
      <c r="D425" s="293"/>
      <c r="E425" s="107"/>
      <c r="F425" s="294"/>
      <c r="G425" s="295"/>
      <c r="J425" s="296"/>
      <c r="K425" s="295"/>
      <c r="M425" s="296"/>
      <c r="N425" s="295"/>
      <c r="P425" s="296"/>
      <c r="T425" s="292"/>
    </row>
    <row r="426" ht="12.75" customHeight="1">
      <c r="D426" s="293"/>
      <c r="E426" s="107"/>
      <c r="F426" s="294"/>
      <c r="G426" s="295"/>
      <c r="J426" s="296"/>
      <c r="K426" s="295"/>
      <c r="M426" s="296"/>
      <c r="N426" s="295"/>
      <c r="P426" s="296"/>
      <c r="T426" s="292"/>
    </row>
    <row r="427" ht="12.75" customHeight="1">
      <c r="D427" s="293"/>
      <c r="E427" s="107"/>
      <c r="F427" s="294"/>
      <c r="G427" s="295"/>
      <c r="J427" s="296"/>
      <c r="K427" s="295"/>
      <c r="M427" s="296"/>
      <c r="N427" s="295"/>
      <c r="P427" s="296"/>
      <c r="T427" s="292"/>
    </row>
    <row r="428" ht="12.75" customHeight="1">
      <c r="D428" s="293"/>
      <c r="E428" s="107"/>
      <c r="F428" s="294"/>
      <c r="G428" s="295"/>
      <c r="J428" s="296"/>
      <c r="K428" s="295"/>
      <c r="M428" s="296"/>
      <c r="N428" s="295"/>
      <c r="P428" s="296"/>
      <c r="T428" s="292"/>
    </row>
    <row r="429" ht="12.75" customHeight="1">
      <c r="D429" s="293"/>
      <c r="E429" s="107"/>
      <c r="F429" s="294"/>
      <c r="G429" s="295"/>
      <c r="J429" s="296"/>
      <c r="K429" s="295"/>
      <c r="M429" s="296"/>
      <c r="N429" s="295"/>
      <c r="P429" s="296"/>
      <c r="T429" s="292"/>
    </row>
    <row r="430" ht="12.75" customHeight="1">
      <c r="D430" s="293"/>
      <c r="E430" s="107"/>
      <c r="F430" s="294"/>
      <c r="G430" s="295"/>
      <c r="J430" s="296"/>
      <c r="K430" s="295"/>
      <c r="M430" s="296"/>
      <c r="N430" s="295"/>
      <c r="P430" s="296"/>
      <c r="T430" s="292"/>
    </row>
    <row r="431" ht="12.75" customHeight="1">
      <c r="D431" s="293"/>
      <c r="E431" s="107"/>
      <c r="F431" s="294"/>
      <c r="G431" s="295"/>
      <c r="J431" s="296"/>
      <c r="K431" s="295"/>
      <c r="M431" s="296"/>
      <c r="N431" s="295"/>
      <c r="P431" s="296"/>
      <c r="T431" s="292"/>
    </row>
    <row r="432" ht="12.75" customHeight="1">
      <c r="D432" s="293"/>
      <c r="E432" s="107"/>
      <c r="F432" s="294"/>
      <c r="G432" s="295"/>
      <c r="J432" s="296"/>
      <c r="K432" s="295"/>
      <c r="M432" s="296"/>
      <c r="N432" s="295"/>
      <c r="P432" s="296"/>
      <c r="T432" s="292"/>
    </row>
    <row r="433" ht="12.75" customHeight="1">
      <c r="D433" s="293"/>
      <c r="E433" s="107"/>
      <c r="F433" s="294"/>
      <c r="G433" s="295"/>
      <c r="J433" s="296"/>
      <c r="K433" s="295"/>
      <c r="M433" s="296"/>
      <c r="N433" s="295"/>
      <c r="P433" s="296"/>
      <c r="T433" s="292"/>
    </row>
    <row r="434" ht="12.75" customHeight="1">
      <c r="D434" s="293"/>
      <c r="E434" s="107"/>
      <c r="F434" s="294"/>
      <c r="G434" s="295"/>
      <c r="J434" s="296"/>
      <c r="K434" s="295"/>
      <c r="M434" s="296"/>
      <c r="N434" s="295"/>
      <c r="P434" s="296"/>
      <c r="T434" s="292"/>
    </row>
    <row r="435" ht="12.75" customHeight="1">
      <c r="D435" s="293"/>
      <c r="E435" s="107"/>
      <c r="F435" s="294"/>
      <c r="G435" s="295"/>
      <c r="J435" s="296"/>
      <c r="K435" s="295"/>
      <c r="M435" s="296"/>
      <c r="N435" s="295"/>
      <c r="P435" s="296"/>
      <c r="T435" s="292"/>
    </row>
    <row r="436" ht="12.75" customHeight="1">
      <c r="D436" s="293"/>
      <c r="E436" s="107"/>
      <c r="F436" s="294"/>
      <c r="G436" s="295"/>
      <c r="J436" s="296"/>
      <c r="K436" s="295"/>
      <c r="M436" s="296"/>
      <c r="N436" s="295"/>
      <c r="P436" s="296"/>
      <c r="T436" s="292"/>
    </row>
    <row r="437" ht="12.75" customHeight="1">
      <c r="D437" s="293"/>
      <c r="E437" s="107"/>
      <c r="F437" s="294"/>
      <c r="G437" s="295"/>
      <c r="J437" s="296"/>
      <c r="K437" s="295"/>
      <c r="M437" s="296"/>
      <c r="N437" s="295"/>
      <c r="P437" s="296"/>
      <c r="T437" s="292"/>
    </row>
    <row r="438" ht="12.75" customHeight="1">
      <c r="D438" s="293"/>
      <c r="E438" s="107"/>
      <c r="F438" s="294"/>
      <c r="G438" s="295"/>
      <c r="J438" s="296"/>
      <c r="K438" s="295"/>
      <c r="M438" s="296"/>
      <c r="N438" s="295"/>
      <c r="P438" s="296"/>
      <c r="T438" s="292"/>
    </row>
    <row r="439" ht="12.75" customHeight="1">
      <c r="D439" s="293"/>
      <c r="E439" s="107"/>
      <c r="F439" s="294"/>
      <c r="G439" s="295"/>
      <c r="J439" s="296"/>
      <c r="K439" s="295"/>
      <c r="M439" s="296"/>
      <c r="N439" s="295"/>
      <c r="P439" s="296"/>
      <c r="T439" s="292"/>
    </row>
    <row r="440" ht="12.75" customHeight="1">
      <c r="D440" s="293"/>
      <c r="E440" s="107"/>
      <c r="F440" s="294"/>
      <c r="G440" s="295"/>
      <c r="J440" s="296"/>
      <c r="K440" s="295"/>
      <c r="M440" s="296"/>
      <c r="N440" s="295"/>
      <c r="P440" s="296"/>
      <c r="T440" s="292"/>
    </row>
    <row r="441" ht="12.75" customHeight="1">
      <c r="D441" s="293"/>
      <c r="E441" s="107"/>
      <c r="F441" s="294"/>
      <c r="G441" s="295"/>
      <c r="J441" s="296"/>
      <c r="K441" s="295"/>
      <c r="M441" s="296"/>
      <c r="N441" s="295"/>
      <c r="P441" s="296"/>
      <c r="T441" s="292"/>
    </row>
    <row r="442" ht="12.75" customHeight="1">
      <c r="D442" s="293"/>
      <c r="E442" s="107"/>
      <c r="F442" s="294"/>
      <c r="G442" s="295"/>
      <c r="J442" s="296"/>
      <c r="K442" s="295"/>
      <c r="M442" s="296"/>
      <c r="N442" s="295"/>
      <c r="P442" s="296"/>
      <c r="T442" s="292"/>
    </row>
    <row r="443" ht="12.75" customHeight="1">
      <c r="D443" s="293"/>
      <c r="E443" s="107"/>
      <c r="F443" s="294"/>
      <c r="G443" s="295"/>
      <c r="J443" s="296"/>
      <c r="K443" s="295"/>
      <c r="M443" s="296"/>
      <c r="N443" s="295"/>
      <c r="P443" s="296"/>
      <c r="T443" s="292"/>
    </row>
    <row r="444" ht="12.75" customHeight="1">
      <c r="D444" s="293"/>
      <c r="E444" s="107"/>
      <c r="F444" s="294"/>
      <c r="G444" s="295"/>
      <c r="J444" s="296"/>
      <c r="K444" s="295"/>
      <c r="M444" s="296"/>
      <c r="N444" s="295"/>
      <c r="P444" s="296"/>
      <c r="T444" s="292"/>
    </row>
    <row r="445" ht="12.75" customHeight="1">
      <c r="D445" s="293"/>
      <c r="E445" s="107"/>
      <c r="F445" s="294"/>
      <c r="G445" s="295"/>
      <c r="J445" s="296"/>
      <c r="K445" s="295"/>
      <c r="M445" s="296"/>
      <c r="N445" s="295"/>
      <c r="P445" s="296"/>
      <c r="T445" s="292"/>
    </row>
    <row r="446" ht="12.75" customHeight="1">
      <c r="D446" s="293"/>
      <c r="E446" s="107"/>
      <c r="F446" s="294"/>
      <c r="G446" s="295"/>
      <c r="J446" s="296"/>
      <c r="K446" s="295"/>
      <c r="M446" s="296"/>
      <c r="N446" s="295"/>
      <c r="P446" s="296"/>
      <c r="T446" s="292"/>
    </row>
    <row r="447" ht="12.75" customHeight="1">
      <c r="D447" s="293"/>
      <c r="E447" s="107"/>
      <c r="F447" s="294"/>
      <c r="G447" s="295"/>
      <c r="J447" s="296"/>
      <c r="K447" s="295"/>
      <c r="M447" s="296"/>
      <c r="N447" s="295"/>
      <c r="P447" s="296"/>
      <c r="T447" s="292"/>
    </row>
    <row r="448" ht="12.75" customHeight="1">
      <c r="D448" s="293"/>
      <c r="E448" s="107"/>
      <c r="F448" s="294"/>
      <c r="G448" s="295"/>
      <c r="J448" s="296"/>
      <c r="K448" s="295"/>
      <c r="M448" s="296"/>
      <c r="N448" s="295"/>
      <c r="P448" s="296"/>
      <c r="T448" s="292"/>
    </row>
    <row r="449" ht="12.75" customHeight="1">
      <c r="D449" s="293"/>
      <c r="E449" s="107"/>
      <c r="F449" s="294"/>
      <c r="G449" s="295"/>
      <c r="J449" s="296"/>
      <c r="K449" s="295"/>
      <c r="M449" s="296"/>
      <c r="N449" s="295"/>
      <c r="P449" s="296"/>
      <c r="T449" s="292"/>
    </row>
    <row r="450" ht="12.75" customHeight="1">
      <c r="D450" s="293"/>
      <c r="E450" s="107"/>
      <c r="F450" s="294"/>
      <c r="G450" s="295"/>
      <c r="J450" s="296"/>
      <c r="K450" s="295"/>
      <c r="M450" s="296"/>
      <c r="N450" s="295"/>
      <c r="P450" s="296"/>
      <c r="T450" s="292"/>
    </row>
    <row r="451" ht="12.75" customHeight="1">
      <c r="D451" s="293"/>
      <c r="E451" s="107"/>
      <c r="F451" s="294"/>
      <c r="G451" s="295"/>
      <c r="J451" s="296"/>
      <c r="K451" s="295"/>
      <c r="M451" s="296"/>
      <c r="N451" s="295"/>
      <c r="P451" s="296"/>
      <c r="T451" s="292"/>
    </row>
    <row r="452" ht="12.75" customHeight="1">
      <c r="D452" s="293"/>
      <c r="E452" s="107"/>
      <c r="F452" s="294"/>
      <c r="G452" s="295"/>
      <c r="J452" s="296"/>
      <c r="K452" s="295"/>
      <c r="M452" s="296"/>
      <c r="N452" s="295"/>
      <c r="P452" s="296"/>
      <c r="T452" s="292"/>
    </row>
    <row r="453" ht="12.75" customHeight="1">
      <c r="D453" s="293"/>
      <c r="E453" s="107"/>
      <c r="F453" s="294"/>
      <c r="G453" s="295"/>
      <c r="J453" s="296"/>
      <c r="K453" s="295"/>
      <c r="M453" s="296"/>
      <c r="N453" s="295"/>
      <c r="P453" s="296"/>
      <c r="T453" s="292"/>
    </row>
    <row r="454" ht="12.75" customHeight="1">
      <c r="D454" s="293"/>
      <c r="E454" s="107"/>
      <c r="F454" s="294"/>
      <c r="G454" s="295"/>
      <c r="J454" s="296"/>
      <c r="K454" s="295"/>
      <c r="M454" s="296"/>
      <c r="N454" s="295"/>
      <c r="P454" s="296"/>
      <c r="T454" s="292"/>
    </row>
    <row r="455" ht="12.75" customHeight="1">
      <c r="D455" s="293"/>
      <c r="E455" s="107"/>
      <c r="F455" s="294"/>
      <c r="G455" s="295"/>
      <c r="J455" s="296"/>
      <c r="K455" s="295"/>
      <c r="M455" s="296"/>
      <c r="N455" s="295"/>
      <c r="P455" s="296"/>
      <c r="T455" s="292"/>
    </row>
    <row r="456" ht="12.75" customHeight="1">
      <c r="D456" s="293"/>
      <c r="E456" s="107"/>
      <c r="F456" s="294"/>
      <c r="G456" s="295"/>
      <c r="J456" s="296"/>
      <c r="K456" s="295"/>
      <c r="M456" s="296"/>
      <c r="N456" s="295"/>
      <c r="P456" s="296"/>
      <c r="T456" s="292"/>
    </row>
    <row r="457" ht="12.75" customHeight="1">
      <c r="D457" s="293"/>
      <c r="E457" s="107"/>
      <c r="F457" s="294"/>
      <c r="G457" s="295"/>
      <c r="J457" s="296"/>
      <c r="K457" s="295"/>
      <c r="M457" s="296"/>
      <c r="N457" s="295"/>
      <c r="P457" s="296"/>
      <c r="T457" s="292"/>
    </row>
    <row r="458" ht="12.75" customHeight="1">
      <c r="D458" s="293"/>
      <c r="E458" s="107"/>
      <c r="F458" s="294"/>
      <c r="G458" s="295"/>
      <c r="J458" s="296"/>
      <c r="K458" s="295"/>
      <c r="M458" s="296"/>
      <c r="N458" s="295"/>
      <c r="P458" s="296"/>
      <c r="T458" s="292"/>
    </row>
    <row r="459" ht="12.75" customHeight="1">
      <c r="D459" s="293"/>
      <c r="E459" s="107"/>
      <c r="F459" s="294"/>
      <c r="G459" s="295"/>
      <c r="J459" s="296"/>
      <c r="K459" s="295"/>
      <c r="M459" s="296"/>
      <c r="N459" s="295"/>
      <c r="P459" s="296"/>
      <c r="T459" s="292"/>
    </row>
    <row r="460" ht="12.75" customHeight="1">
      <c r="D460" s="293"/>
      <c r="E460" s="107"/>
      <c r="F460" s="294"/>
      <c r="G460" s="295"/>
      <c r="J460" s="296"/>
      <c r="K460" s="295"/>
      <c r="M460" s="296"/>
      <c r="N460" s="295"/>
      <c r="P460" s="296"/>
      <c r="T460" s="292"/>
    </row>
    <row r="461" ht="12.75" customHeight="1">
      <c r="D461" s="293"/>
      <c r="E461" s="107"/>
      <c r="F461" s="294"/>
      <c r="G461" s="295"/>
      <c r="J461" s="296"/>
      <c r="K461" s="295"/>
      <c r="M461" s="296"/>
      <c r="N461" s="295"/>
      <c r="P461" s="296"/>
      <c r="T461" s="292"/>
    </row>
    <row r="462" ht="12.75" customHeight="1">
      <c r="D462" s="293"/>
      <c r="E462" s="107"/>
      <c r="F462" s="294"/>
      <c r="G462" s="295"/>
      <c r="J462" s="296"/>
      <c r="K462" s="295"/>
      <c r="M462" s="296"/>
      <c r="N462" s="295"/>
      <c r="P462" s="296"/>
      <c r="T462" s="292"/>
    </row>
    <row r="463" ht="12.75" customHeight="1">
      <c r="D463" s="293"/>
      <c r="E463" s="107"/>
      <c r="F463" s="294"/>
      <c r="G463" s="295"/>
      <c r="J463" s="296"/>
      <c r="K463" s="295"/>
      <c r="M463" s="296"/>
      <c r="N463" s="295"/>
      <c r="P463" s="296"/>
      <c r="T463" s="292"/>
    </row>
    <row r="464" ht="12.75" customHeight="1">
      <c r="D464" s="293"/>
      <c r="E464" s="107"/>
      <c r="F464" s="294"/>
      <c r="G464" s="295"/>
      <c r="J464" s="296"/>
      <c r="K464" s="295"/>
      <c r="M464" s="296"/>
      <c r="N464" s="295"/>
      <c r="P464" s="296"/>
      <c r="T464" s="292"/>
    </row>
    <row r="465" ht="12.75" customHeight="1">
      <c r="D465" s="293"/>
      <c r="E465" s="107"/>
      <c r="F465" s="294"/>
      <c r="G465" s="295"/>
      <c r="J465" s="296"/>
      <c r="K465" s="295"/>
      <c r="M465" s="296"/>
      <c r="N465" s="295"/>
      <c r="P465" s="296"/>
      <c r="T465" s="292"/>
    </row>
    <row r="466" ht="12.75" customHeight="1">
      <c r="D466" s="293"/>
      <c r="E466" s="107"/>
      <c r="F466" s="294"/>
      <c r="G466" s="295"/>
      <c r="J466" s="296"/>
      <c r="K466" s="295"/>
      <c r="M466" s="296"/>
      <c r="N466" s="295"/>
      <c r="P466" s="296"/>
      <c r="T466" s="292"/>
    </row>
    <row r="467" ht="12.75" customHeight="1">
      <c r="D467" s="293"/>
      <c r="E467" s="107"/>
      <c r="F467" s="294"/>
      <c r="G467" s="295"/>
      <c r="J467" s="296"/>
      <c r="K467" s="295"/>
      <c r="M467" s="296"/>
      <c r="N467" s="295"/>
      <c r="P467" s="296"/>
      <c r="T467" s="292"/>
    </row>
    <row r="468" ht="12.75" customHeight="1">
      <c r="D468" s="293"/>
      <c r="E468" s="107"/>
      <c r="F468" s="294"/>
      <c r="G468" s="295"/>
      <c r="J468" s="296"/>
      <c r="K468" s="295"/>
      <c r="M468" s="296"/>
      <c r="N468" s="295"/>
      <c r="P468" s="296"/>
      <c r="T468" s="292"/>
    </row>
    <row r="469" ht="12.75" customHeight="1">
      <c r="D469" s="293"/>
      <c r="E469" s="107"/>
      <c r="F469" s="294"/>
      <c r="G469" s="295"/>
      <c r="J469" s="296"/>
      <c r="K469" s="295"/>
      <c r="M469" s="296"/>
      <c r="N469" s="295"/>
      <c r="P469" s="296"/>
      <c r="T469" s="292"/>
    </row>
    <row r="470" ht="12.75" customHeight="1">
      <c r="D470" s="293"/>
      <c r="E470" s="107"/>
      <c r="F470" s="294"/>
      <c r="G470" s="295"/>
      <c r="J470" s="296"/>
      <c r="K470" s="295"/>
      <c r="M470" s="296"/>
      <c r="N470" s="295"/>
      <c r="P470" s="296"/>
      <c r="T470" s="292"/>
    </row>
    <row r="471" ht="12.75" customHeight="1">
      <c r="D471" s="293"/>
      <c r="E471" s="107"/>
      <c r="F471" s="294"/>
      <c r="G471" s="295"/>
      <c r="J471" s="296"/>
      <c r="K471" s="295"/>
      <c r="M471" s="296"/>
      <c r="N471" s="295"/>
      <c r="P471" s="296"/>
      <c r="T471" s="292"/>
    </row>
    <row r="472" ht="12.75" customHeight="1">
      <c r="D472" s="293"/>
      <c r="E472" s="107"/>
      <c r="F472" s="294"/>
      <c r="G472" s="295"/>
      <c r="J472" s="296"/>
      <c r="K472" s="295"/>
      <c r="M472" s="296"/>
      <c r="N472" s="295"/>
      <c r="P472" s="296"/>
      <c r="T472" s="292"/>
    </row>
    <row r="473" ht="12.75" customHeight="1">
      <c r="D473" s="293"/>
      <c r="E473" s="107"/>
      <c r="F473" s="294"/>
      <c r="G473" s="295"/>
      <c r="J473" s="296"/>
      <c r="K473" s="295"/>
      <c r="M473" s="296"/>
      <c r="N473" s="295"/>
      <c r="P473" s="296"/>
      <c r="T473" s="292"/>
    </row>
    <row r="474" ht="12.75" customHeight="1">
      <c r="D474" s="293"/>
      <c r="E474" s="107"/>
      <c r="F474" s="294"/>
      <c r="G474" s="295"/>
      <c r="J474" s="296"/>
      <c r="K474" s="295"/>
      <c r="M474" s="296"/>
      <c r="N474" s="295"/>
      <c r="P474" s="296"/>
      <c r="T474" s="292"/>
    </row>
    <row r="475" ht="12.75" customHeight="1">
      <c r="D475" s="293"/>
      <c r="E475" s="107"/>
      <c r="F475" s="294"/>
      <c r="G475" s="295"/>
      <c r="J475" s="296"/>
      <c r="K475" s="295"/>
      <c r="M475" s="296"/>
      <c r="N475" s="295"/>
      <c r="P475" s="296"/>
      <c r="T475" s="292"/>
    </row>
    <row r="476" ht="12.75" customHeight="1">
      <c r="D476" s="293"/>
      <c r="E476" s="107"/>
      <c r="F476" s="294"/>
      <c r="G476" s="295"/>
      <c r="J476" s="296"/>
      <c r="K476" s="295"/>
      <c r="M476" s="296"/>
      <c r="N476" s="295"/>
      <c r="P476" s="296"/>
      <c r="T476" s="292"/>
    </row>
    <row r="477" ht="12.75" customHeight="1">
      <c r="D477" s="293"/>
      <c r="E477" s="107"/>
      <c r="F477" s="294"/>
      <c r="G477" s="295"/>
      <c r="J477" s="296"/>
      <c r="K477" s="295"/>
      <c r="M477" s="296"/>
      <c r="N477" s="295"/>
      <c r="P477" s="296"/>
      <c r="T477" s="292"/>
    </row>
    <row r="478" ht="12.75" customHeight="1">
      <c r="D478" s="293"/>
      <c r="E478" s="107"/>
      <c r="F478" s="294"/>
      <c r="G478" s="295"/>
      <c r="J478" s="296"/>
      <c r="K478" s="295"/>
      <c r="M478" s="296"/>
      <c r="N478" s="295"/>
      <c r="P478" s="296"/>
      <c r="T478" s="292"/>
    </row>
    <row r="479" ht="12.75" customHeight="1">
      <c r="D479" s="293"/>
      <c r="E479" s="107"/>
      <c r="F479" s="294"/>
      <c r="G479" s="295"/>
      <c r="J479" s="296"/>
      <c r="K479" s="295"/>
      <c r="M479" s="296"/>
      <c r="N479" s="295"/>
      <c r="P479" s="296"/>
      <c r="T479" s="292"/>
    </row>
    <row r="480" ht="12.75" customHeight="1">
      <c r="D480" s="293"/>
      <c r="E480" s="107"/>
      <c r="F480" s="294"/>
      <c r="G480" s="295"/>
      <c r="J480" s="296"/>
      <c r="K480" s="295"/>
      <c r="M480" s="296"/>
      <c r="N480" s="295"/>
      <c r="P480" s="296"/>
      <c r="T480" s="292"/>
    </row>
    <row r="481" ht="12.75" customHeight="1">
      <c r="D481" s="293"/>
      <c r="E481" s="107"/>
      <c r="F481" s="294"/>
      <c r="G481" s="295"/>
      <c r="J481" s="296"/>
      <c r="K481" s="295"/>
      <c r="M481" s="296"/>
      <c r="N481" s="295"/>
      <c r="P481" s="296"/>
      <c r="T481" s="292"/>
    </row>
    <row r="482" ht="12.75" customHeight="1">
      <c r="D482" s="293"/>
      <c r="E482" s="107"/>
      <c r="F482" s="294"/>
      <c r="G482" s="295"/>
      <c r="J482" s="296"/>
      <c r="K482" s="295"/>
      <c r="M482" s="296"/>
      <c r="N482" s="295"/>
      <c r="P482" s="296"/>
      <c r="T482" s="292"/>
    </row>
    <row r="483" ht="12.75" customHeight="1">
      <c r="D483" s="293"/>
      <c r="E483" s="107"/>
      <c r="F483" s="294"/>
      <c r="G483" s="295"/>
      <c r="J483" s="296"/>
      <c r="K483" s="295"/>
      <c r="M483" s="296"/>
      <c r="N483" s="295"/>
      <c r="P483" s="296"/>
      <c r="T483" s="292"/>
    </row>
    <row r="484" ht="12.75" customHeight="1">
      <c r="D484" s="293"/>
      <c r="E484" s="107"/>
      <c r="F484" s="294"/>
      <c r="G484" s="295"/>
      <c r="J484" s="296"/>
      <c r="K484" s="295"/>
      <c r="M484" s="296"/>
      <c r="N484" s="295"/>
      <c r="P484" s="296"/>
      <c r="T484" s="292"/>
    </row>
    <row r="485" ht="12.75" customHeight="1">
      <c r="D485" s="293"/>
      <c r="E485" s="107"/>
      <c r="F485" s="294"/>
      <c r="G485" s="295"/>
      <c r="J485" s="296"/>
      <c r="K485" s="295"/>
      <c r="M485" s="296"/>
      <c r="N485" s="295"/>
      <c r="P485" s="296"/>
      <c r="T485" s="292"/>
    </row>
    <row r="486" ht="12.75" customHeight="1">
      <c r="D486" s="293"/>
      <c r="E486" s="107"/>
      <c r="F486" s="294"/>
      <c r="G486" s="295"/>
      <c r="J486" s="296"/>
      <c r="K486" s="295"/>
      <c r="M486" s="296"/>
      <c r="N486" s="295"/>
      <c r="P486" s="296"/>
      <c r="T486" s="292"/>
    </row>
    <row r="487" ht="12.75" customHeight="1">
      <c r="D487" s="293"/>
      <c r="E487" s="107"/>
      <c r="F487" s="294"/>
      <c r="G487" s="295"/>
      <c r="J487" s="296"/>
      <c r="K487" s="295"/>
      <c r="M487" s="296"/>
      <c r="N487" s="295"/>
      <c r="P487" s="296"/>
      <c r="T487" s="292"/>
    </row>
    <row r="488" ht="12.75" customHeight="1">
      <c r="D488" s="293"/>
      <c r="E488" s="107"/>
      <c r="F488" s="294"/>
      <c r="G488" s="295"/>
      <c r="J488" s="296"/>
      <c r="K488" s="295"/>
      <c r="M488" s="296"/>
      <c r="N488" s="295"/>
      <c r="P488" s="296"/>
      <c r="T488" s="292"/>
    </row>
    <row r="489" ht="12.75" customHeight="1">
      <c r="D489" s="293"/>
      <c r="E489" s="107"/>
      <c r="F489" s="294"/>
      <c r="G489" s="295"/>
      <c r="J489" s="296"/>
      <c r="K489" s="295"/>
      <c r="M489" s="296"/>
      <c r="N489" s="295"/>
      <c r="P489" s="296"/>
      <c r="T489" s="292"/>
    </row>
    <row r="490" ht="12.75" customHeight="1">
      <c r="D490" s="293"/>
      <c r="E490" s="107"/>
      <c r="F490" s="294"/>
      <c r="G490" s="295"/>
      <c r="J490" s="296"/>
      <c r="K490" s="295"/>
      <c r="M490" s="296"/>
      <c r="N490" s="295"/>
      <c r="P490" s="296"/>
      <c r="T490" s="292"/>
    </row>
    <row r="491" ht="12.75" customHeight="1">
      <c r="D491" s="293"/>
      <c r="E491" s="107"/>
      <c r="F491" s="294"/>
      <c r="G491" s="295"/>
      <c r="J491" s="296"/>
      <c r="K491" s="295"/>
      <c r="M491" s="296"/>
      <c r="N491" s="295"/>
      <c r="P491" s="296"/>
      <c r="T491" s="292"/>
    </row>
    <row r="492" ht="12.75" customHeight="1">
      <c r="D492" s="293"/>
      <c r="E492" s="107"/>
      <c r="F492" s="294"/>
      <c r="G492" s="295"/>
      <c r="J492" s="296"/>
      <c r="K492" s="295"/>
      <c r="M492" s="296"/>
      <c r="N492" s="295"/>
      <c r="P492" s="296"/>
      <c r="T492" s="292"/>
    </row>
    <row r="493" ht="12.75" customHeight="1">
      <c r="D493" s="293"/>
      <c r="E493" s="107"/>
      <c r="F493" s="294"/>
      <c r="G493" s="295"/>
      <c r="J493" s="296"/>
      <c r="K493" s="295"/>
      <c r="M493" s="296"/>
      <c r="N493" s="295"/>
      <c r="P493" s="296"/>
      <c r="T493" s="292"/>
    </row>
    <row r="494" ht="12.75" customHeight="1">
      <c r="D494" s="293"/>
      <c r="E494" s="107"/>
      <c r="F494" s="294"/>
      <c r="G494" s="295"/>
      <c r="J494" s="296"/>
      <c r="K494" s="295"/>
      <c r="M494" s="296"/>
      <c r="N494" s="295"/>
      <c r="P494" s="296"/>
      <c r="T494" s="292"/>
    </row>
    <row r="495" ht="12.75" customHeight="1">
      <c r="D495" s="293"/>
      <c r="E495" s="107"/>
      <c r="F495" s="294"/>
      <c r="G495" s="295"/>
      <c r="J495" s="296"/>
      <c r="K495" s="295"/>
      <c r="M495" s="296"/>
      <c r="N495" s="295"/>
      <c r="P495" s="296"/>
      <c r="T495" s="292"/>
    </row>
    <row r="496" ht="12.75" customHeight="1">
      <c r="D496" s="293"/>
      <c r="E496" s="107"/>
      <c r="F496" s="294"/>
      <c r="G496" s="295"/>
      <c r="J496" s="296"/>
      <c r="K496" s="295"/>
      <c r="M496" s="296"/>
      <c r="N496" s="295"/>
      <c r="P496" s="296"/>
      <c r="T496" s="292"/>
    </row>
    <row r="497" ht="12.75" customHeight="1">
      <c r="D497" s="293"/>
      <c r="E497" s="107"/>
      <c r="F497" s="294"/>
      <c r="G497" s="295"/>
      <c r="J497" s="296"/>
      <c r="K497" s="295"/>
      <c r="M497" s="296"/>
      <c r="N497" s="295"/>
      <c r="P497" s="296"/>
      <c r="T497" s="292"/>
    </row>
    <row r="498" ht="12.75" customHeight="1">
      <c r="D498" s="293"/>
      <c r="E498" s="107"/>
      <c r="F498" s="294"/>
      <c r="G498" s="295"/>
      <c r="J498" s="296"/>
      <c r="K498" s="295"/>
      <c r="M498" s="296"/>
      <c r="N498" s="295"/>
      <c r="P498" s="296"/>
      <c r="T498" s="292"/>
    </row>
    <row r="499" ht="12.75" customHeight="1">
      <c r="D499" s="293"/>
      <c r="E499" s="107"/>
      <c r="F499" s="294"/>
      <c r="G499" s="295"/>
      <c r="J499" s="296"/>
      <c r="K499" s="295"/>
      <c r="M499" s="296"/>
      <c r="N499" s="295"/>
      <c r="P499" s="296"/>
      <c r="T499" s="292"/>
    </row>
    <row r="500" ht="12.75" customHeight="1">
      <c r="D500" s="293"/>
      <c r="E500" s="107"/>
      <c r="F500" s="294"/>
      <c r="G500" s="295"/>
      <c r="J500" s="296"/>
      <c r="K500" s="295"/>
      <c r="M500" s="296"/>
      <c r="N500" s="295"/>
      <c r="P500" s="296"/>
      <c r="T500" s="292"/>
    </row>
    <row r="501" ht="12.75" customHeight="1">
      <c r="D501" s="293"/>
      <c r="E501" s="107"/>
      <c r="F501" s="294"/>
      <c r="G501" s="295"/>
      <c r="J501" s="296"/>
      <c r="K501" s="295"/>
      <c r="M501" s="296"/>
      <c r="N501" s="295"/>
      <c r="P501" s="296"/>
      <c r="T501" s="292"/>
    </row>
    <row r="502" ht="12.75" customHeight="1">
      <c r="D502" s="293"/>
      <c r="E502" s="107"/>
      <c r="F502" s="294"/>
      <c r="G502" s="295"/>
      <c r="J502" s="296"/>
      <c r="K502" s="295"/>
      <c r="M502" s="296"/>
      <c r="N502" s="295"/>
      <c r="P502" s="296"/>
      <c r="T502" s="292"/>
    </row>
    <row r="503" ht="12.75" customHeight="1">
      <c r="D503" s="293"/>
      <c r="E503" s="107"/>
      <c r="F503" s="294"/>
      <c r="G503" s="295"/>
      <c r="J503" s="296"/>
      <c r="K503" s="295"/>
      <c r="M503" s="296"/>
      <c r="N503" s="295"/>
      <c r="P503" s="296"/>
      <c r="T503" s="292"/>
    </row>
    <row r="504" ht="12.75" customHeight="1">
      <c r="D504" s="293"/>
      <c r="E504" s="107"/>
      <c r="F504" s="294"/>
      <c r="G504" s="295"/>
      <c r="J504" s="296"/>
      <c r="K504" s="295"/>
      <c r="M504" s="296"/>
      <c r="N504" s="295"/>
      <c r="P504" s="296"/>
      <c r="T504" s="292"/>
    </row>
    <row r="505" ht="12.75" customHeight="1">
      <c r="D505" s="293"/>
      <c r="E505" s="107"/>
      <c r="F505" s="294"/>
      <c r="G505" s="295"/>
      <c r="J505" s="296"/>
      <c r="K505" s="295"/>
      <c r="M505" s="296"/>
      <c r="N505" s="295"/>
      <c r="P505" s="296"/>
      <c r="T505" s="292"/>
    </row>
    <row r="506" ht="12.75" customHeight="1">
      <c r="D506" s="293"/>
      <c r="E506" s="107"/>
      <c r="F506" s="294"/>
      <c r="G506" s="295"/>
      <c r="J506" s="296"/>
      <c r="K506" s="295"/>
      <c r="M506" s="296"/>
      <c r="N506" s="295"/>
      <c r="P506" s="296"/>
      <c r="T506" s="292"/>
    </row>
    <row r="507" ht="12.75" customHeight="1">
      <c r="D507" s="293"/>
      <c r="E507" s="107"/>
      <c r="F507" s="294"/>
      <c r="G507" s="295"/>
      <c r="J507" s="296"/>
      <c r="K507" s="295"/>
      <c r="M507" s="296"/>
      <c r="N507" s="295"/>
      <c r="P507" s="296"/>
      <c r="T507" s="292"/>
    </row>
    <row r="508" ht="12.75" customHeight="1">
      <c r="D508" s="293"/>
      <c r="E508" s="107"/>
      <c r="F508" s="294"/>
      <c r="G508" s="295"/>
      <c r="J508" s="296"/>
      <c r="K508" s="295"/>
      <c r="M508" s="296"/>
      <c r="N508" s="295"/>
      <c r="P508" s="296"/>
      <c r="T508" s="292"/>
    </row>
    <row r="509" ht="12.75" customHeight="1">
      <c r="D509" s="293"/>
      <c r="E509" s="107"/>
      <c r="F509" s="294"/>
      <c r="G509" s="295"/>
      <c r="J509" s="296"/>
      <c r="K509" s="295"/>
      <c r="M509" s="296"/>
      <c r="N509" s="295"/>
      <c r="P509" s="296"/>
      <c r="T509" s="292"/>
    </row>
    <row r="510" ht="12.75" customHeight="1">
      <c r="D510" s="293"/>
      <c r="E510" s="107"/>
      <c r="F510" s="294"/>
      <c r="G510" s="295"/>
      <c r="J510" s="296"/>
      <c r="K510" s="295"/>
      <c r="M510" s="296"/>
      <c r="N510" s="295"/>
      <c r="P510" s="296"/>
      <c r="T510" s="292"/>
    </row>
    <row r="511" ht="12.75" customHeight="1">
      <c r="D511" s="293"/>
      <c r="E511" s="107"/>
      <c r="F511" s="294"/>
      <c r="G511" s="295"/>
      <c r="J511" s="296"/>
      <c r="K511" s="295"/>
      <c r="M511" s="296"/>
      <c r="N511" s="295"/>
      <c r="P511" s="296"/>
      <c r="T511" s="292"/>
    </row>
    <row r="512" ht="12.75" customHeight="1">
      <c r="D512" s="293"/>
      <c r="E512" s="107"/>
      <c r="F512" s="294"/>
      <c r="G512" s="295"/>
      <c r="J512" s="296"/>
      <c r="K512" s="295"/>
      <c r="M512" s="296"/>
      <c r="N512" s="295"/>
      <c r="P512" s="296"/>
      <c r="T512" s="292"/>
    </row>
    <row r="513" ht="12.75" customHeight="1">
      <c r="D513" s="293"/>
      <c r="E513" s="107"/>
      <c r="F513" s="294"/>
      <c r="G513" s="295"/>
      <c r="J513" s="296"/>
      <c r="K513" s="295"/>
      <c r="M513" s="296"/>
      <c r="N513" s="295"/>
      <c r="P513" s="296"/>
      <c r="T513" s="292"/>
    </row>
    <row r="514" ht="12.75" customHeight="1">
      <c r="D514" s="293"/>
      <c r="E514" s="107"/>
      <c r="F514" s="294"/>
      <c r="G514" s="295"/>
      <c r="J514" s="296"/>
      <c r="K514" s="295"/>
      <c r="M514" s="296"/>
      <c r="N514" s="295"/>
      <c r="P514" s="296"/>
      <c r="T514" s="292"/>
    </row>
    <row r="515" ht="12.75" customHeight="1">
      <c r="D515" s="293"/>
      <c r="E515" s="107"/>
      <c r="F515" s="294"/>
      <c r="G515" s="295"/>
      <c r="J515" s="296"/>
      <c r="K515" s="295"/>
      <c r="M515" s="296"/>
      <c r="N515" s="295"/>
      <c r="P515" s="296"/>
      <c r="T515" s="292"/>
    </row>
    <row r="516" ht="12.75" customHeight="1">
      <c r="D516" s="293"/>
      <c r="E516" s="107"/>
      <c r="F516" s="294"/>
      <c r="G516" s="295"/>
      <c r="J516" s="296"/>
      <c r="K516" s="295"/>
      <c r="M516" s="296"/>
      <c r="N516" s="295"/>
      <c r="P516" s="296"/>
      <c r="T516" s="292"/>
    </row>
    <row r="517" ht="12.75" customHeight="1">
      <c r="D517" s="293"/>
      <c r="E517" s="107"/>
      <c r="F517" s="294"/>
      <c r="G517" s="295"/>
      <c r="J517" s="296"/>
      <c r="K517" s="295"/>
      <c r="M517" s="296"/>
      <c r="N517" s="295"/>
      <c r="P517" s="296"/>
      <c r="T517" s="292"/>
    </row>
    <row r="518" ht="12.75" customHeight="1">
      <c r="D518" s="293"/>
      <c r="E518" s="107"/>
      <c r="F518" s="294"/>
      <c r="G518" s="295"/>
      <c r="J518" s="296"/>
      <c r="K518" s="295"/>
      <c r="M518" s="296"/>
      <c r="N518" s="295"/>
      <c r="P518" s="296"/>
      <c r="T518" s="292"/>
    </row>
    <row r="519" ht="12.75" customHeight="1">
      <c r="D519" s="293"/>
      <c r="E519" s="107"/>
      <c r="F519" s="294"/>
      <c r="G519" s="295"/>
      <c r="J519" s="296"/>
      <c r="K519" s="295"/>
      <c r="M519" s="296"/>
      <c r="N519" s="295"/>
      <c r="P519" s="296"/>
      <c r="T519" s="292"/>
    </row>
    <row r="520" ht="12.75" customHeight="1">
      <c r="D520" s="293"/>
      <c r="E520" s="107"/>
      <c r="F520" s="294"/>
      <c r="G520" s="295"/>
      <c r="J520" s="296"/>
      <c r="K520" s="295"/>
      <c r="M520" s="296"/>
      <c r="N520" s="295"/>
      <c r="P520" s="296"/>
      <c r="T520" s="292"/>
    </row>
    <row r="521" ht="12.75" customHeight="1">
      <c r="D521" s="293"/>
      <c r="E521" s="107"/>
      <c r="F521" s="294"/>
      <c r="G521" s="295"/>
      <c r="J521" s="296"/>
      <c r="K521" s="295"/>
      <c r="M521" s="296"/>
      <c r="N521" s="295"/>
      <c r="P521" s="296"/>
      <c r="T521" s="292"/>
    </row>
    <row r="522" ht="12.75" customHeight="1">
      <c r="D522" s="293"/>
      <c r="E522" s="107"/>
      <c r="F522" s="294"/>
      <c r="G522" s="295"/>
      <c r="J522" s="296"/>
      <c r="K522" s="295"/>
      <c r="M522" s="296"/>
      <c r="N522" s="295"/>
      <c r="P522" s="296"/>
      <c r="T522" s="292"/>
    </row>
    <row r="523" ht="12.75" customHeight="1">
      <c r="D523" s="293"/>
      <c r="E523" s="107"/>
      <c r="F523" s="294"/>
      <c r="G523" s="295"/>
      <c r="J523" s="296"/>
      <c r="K523" s="295"/>
      <c r="M523" s="296"/>
      <c r="N523" s="295"/>
      <c r="P523" s="296"/>
      <c r="T523" s="292"/>
    </row>
    <row r="524" ht="12.75" customHeight="1">
      <c r="D524" s="293"/>
      <c r="E524" s="107"/>
      <c r="F524" s="294"/>
      <c r="G524" s="295"/>
      <c r="J524" s="296"/>
      <c r="K524" s="295"/>
      <c r="M524" s="296"/>
      <c r="N524" s="295"/>
      <c r="P524" s="296"/>
      <c r="T524" s="292"/>
    </row>
    <row r="525" ht="12.75" customHeight="1">
      <c r="D525" s="293"/>
      <c r="E525" s="107"/>
      <c r="F525" s="294"/>
      <c r="G525" s="295"/>
      <c r="J525" s="296"/>
      <c r="K525" s="295"/>
      <c r="M525" s="296"/>
      <c r="N525" s="295"/>
      <c r="P525" s="296"/>
      <c r="T525" s="292"/>
    </row>
    <row r="526" ht="12.75" customHeight="1">
      <c r="D526" s="293"/>
      <c r="E526" s="107"/>
      <c r="F526" s="294"/>
      <c r="G526" s="295"/>
      <c r="J526" s="296"/>
      <c r="K526" s="295"/>
      <c r="M526" s="296"/>
      <c r="N526" s="295"/>
      <c r="P526" s="296"/>
      <c r="T526" s="292"/>
    </row>
    <row r="527" ht="12.75" customHeight="1">
      <c r="D527" s="293"/>
      <c r="E527" s="107"/>
      <c r="F527" s="294"/>
      <c r="G527" s="295"/>
      <c r="J527" s="296"/>
      <c r="K527" s="295"/>
      <c r="M527" s="296"/>
      <c r="N527" s="295"/>
      <c r="P527" s="296"/>
      <c r="T527" s="292"/>
    </row>
    <row r="528" ht="12.75" customHeight="1">
      <c r="D528" s="293"/>
      <c r="E528" s="107"/>
      <c r="F528" s="294"/>
      <c r="G528" s="295"/>
      <c r="J528" s="296"/>
      <c r="K528" s="295"/>
      <c r="M528" s="296"/>
      <c r="N528" s="295"/>
      <c r="P528" s="296"/>
      <c r="T528" s="292"/>
    </row>
    <row r="529" ht="12.75" customHeight="1">
      <c r="D529" s="293"/>
      <c r="E529" s="107"/>
      <c r="F529" s="294"/>
      <c r="G529" s="295"/>
      <c r="J529" s="296"/>
      <c r="K529" s="295"/>
      <c r="M529" s="296"/>
      <c r="N529" s="295"/>
      <c r="P529" s="296"/>
      <c r="T529" s="292"/>
    </row>
    <row r="530" ht="12.75" customHeight="1">
      <c r="D530" s="293"/>
      <c r="E530" s="107"/>
      <c r="F530" s="294"/>
      <c r="G530" s="295"/>
      <c r="J530" s="296"/>
      <c r="K530" s="295"/>
      <c r="M530" s="296"/>
      <c r="N530" s="295"/>
      <c r="P530" s="296"/>
      <c r="T530" s="292"/>
    </row>
    <row r="531" ht="12.75" customHeight="1">
      <c r="D531" s="293"/>
      <c r="E531" s="107"/>
      <c r="F531" s="294"/>
      <c r="G531" s="295"/>
      <c r="J531" s="296"/>
      <c r="K531" s="295"/>
      <c r="M531" s="296"/>
      <c r="N531" s="295"/>
      <c r="P531" s="296"/>
      <c r="T531" s="292"/>
    </row>
    <row r="532" ht="12.75" customHeight="1">
      <c r="D532" s="293"/>
      <c r="E532" s="107"/>
      <c r="F532" s="294"/>
      <c r="G532" s="295"/>
      <c r="J532" s="296"/>
      <c r="K532" s="295"/>
      <c r="M532" s="296"/>
      <c r="N532" s="295"/>
      <c r="P532" s="296"/>
      <c r="T532" s="292"/>
    </row>
    <row r="533" ht="12.75" customHeight="1">
      <c r="D533" s="293"/>
      <c r="E533" s="107"/>
      <c r="F533" s="294"/>
      <c r="G533" s="295"/>
      <c r="J533" s="296"/>
      <c r="K533" s="295"/>
      <c r="M533" s="296"/>
      <c r="N533" s="295"/>
      <c r="P533" s="296"/>
      <c r="T533" s="292"/>
    </row>
    <row r="534" ht="12.75" customHeight="1">
      <c r="D534" s="293"/>
      <c r="E534" s="107"/>
      <c r="F534" s="294"/>
      <c r="G534" s="295"/>
      <c r="J534" s="296"/>
      <c r="K534" s="295"/>
      <c r="M534" s="296"/>
      <c r="N534" s="295"/>
      <c r="P534" s="296"/>
      <c r="T534" s="292"/>
    </row>
    <row r="535" ht="12.75" customHeight="1">
      <c r="D535" s="293"/>
      <c r="E535" s="107"/>
      <c r="F535" s="294"/>
      <c r="G535" s="295"/>
      <c r="J535" s="296"/>
      <c r="K535" s="295"/>
      <c r="M535" s="296"/>
      <c r="N535" s="295"/>
      <c r="P535" s="296"/>
      <c r="T535" s="292"/>
    </row>
    <row r="536" ht="12.75" customHeight="1">
      <c r="D536" s="293"/>
      <c r="E536" s="107"/>
      <c r="F536" s="294"/>
      <c r="G536" s="295"/>
      <c r="J536" s="296"/>
      <c r="K536" s="295"/>
      <c r="M536" s="296"/>
      <c r="N536" s="295"/>
      <c r="P536" s="296"/>
      <c r="T536" s="292"/>
    </row>
    <row r="537" ht="12.75" customHeight="1">
      <c r="D537" s="293"/>
      <c r="E537" s="107"/>
      <c r="F537" s="294"/>
      <c r="G537" s="295"/>
      <c r="J537" s="296"/>
      <c r="K537" s="295"/>
      <c r="M537" s="296"/>
      <c r="N537" s="295"/>
      <c r="P537" s="296"/>
      <c r="T537" s="292"/>
    </row>
    <row r="538" ht="12.75" customHeight="1">
      <c r="D538" s="293"/>
      <c r="E538" s="107"/>
      <c r="F538" s="294"/>
      <c r="G538" s="295"/>
      <c r="J538" s="296"/>
      <c r="K538" s="295"/>
      <c r="M538" s="296"/>
      <c r="N538" s="295"/>
      <c r="P538" s="296"/>
      <c r="T538" s="292"/>
    </row>
    <row r="539" ht="12.75" customHeight="1">
      <c r="D539" s="293"/>
      <c r="E539" s="107"/>
      <c r="F539" s="294"/>
      <c r="G539" s="295"/>
      <c r="J539" s="296"/>
      <c r="K539" s="295"/>
      <c r="M539" s="296"/>
      <c r="N539" s="295"/>
      <c r="P539" s="296"/>
      <c r="T539" s="292"/>
    </row>
    <row r="540" ht="12.75" customHeight="1">
      <c r="D540" s="293"/>
      <c r="E540" s="107"/>
      <c r="F540" s="294"/>
      <c r="G540" s="295"/>
      <c r="J540" s="296"/>
      <c r="K540" s="295"/>
      <c r="M540" s="296"/>
      <c r="N540" s="295"/>
      <c r="P540" s="296"/>
      <c r="T540" s="292"/>
    </row>
    <row r="541" ht="12.75" customHeight="1">
      <c r="D541" s="293"/>
      <c r="E541" s="107"/>
      <c r="F541" s="294"/>
      <c r="G541" s="295"/>
      <c r="J541" s="296"/>
      <c r="K541" s="295"/>
      <c r="M541" s="296"/>
      <c r="N541" s="295"/>
      <c r="P541" s="296"/>
      <c r="T541" s="292"/>
    </row>
    <row r="542" ht="12.75" customHeight="1">
      <c r="D542" s="293"/>
      <c r="E542" s="107"/>
      <c r="F542" s="294"/>
      <c r="G542" s="295"/>
      <c r="J542" s="296"/>
      <c r="K542" s="295"/>
      <c r="M542" s="296"/>
      <c r="N542" s="295"/>
      <c r="P542" s="296"/>
      <c r="T542" s="292"/>
    </row>
    <row r="543" ht="12.75" customHeight="1">
      <c r="D543" s="293"/>
      <c r="E543" s="107"/>
      <c r="F543" s="294"/>
      <c r="G543" s="295"/>
      <c r="J543" s="296"/>
      <c r="K543" s="295"/>
      <c r="M543" s="296"/>
      <c r="N543" s="295"/>
      <c r="P543" s="296"/>
      <c r="T543" s="292"/>
    </row>
    <row r="544" ht="12.75" customHeight="1">
      <c r="D544" s="293"/>
      <c r="E544" s="107"/>
      <c r="F544" s="294"/>
      <c r="G544" s="295"/>
      <c r="J544" s="296"/>
      <c r="K544" s="295"/>
      <c r="M544" s="296"/>
      <c r="N544" s="295"/>
      <c r="P544" s="296"/>
      <c r="T544" s="292"/>
    </row>
    <row r="545" ht="12.75" customHeight="1">
      <c r="D545" s="293"/>
      <c r="E545" s="107"/>
      <c r="F545" s="294"/>
      <c r="G545" s="295"/>
      <c r="J545" s="296"/>
      <c r="K545" s="295"/>
      <c r="M545" s="296"/>
      <c r="N545" s="295"/>
      <c r="P545" s="296"/>
      <c r="T545" s="292"/>
    </row>
    <row r="546" ht="12.75" customHeight="1">
      <c r="D546" s="293"/>
      <c r="E546" s="107"/>
      <c r="F546" s="294"/>
      <c r="G546" s="295"/>
      <c r="J546" s="296"/>
      <c r="K546" s="295"/>
      <c r="M546" s="296"/>
      <c r="N546" s="295"/>
      <c r="P546" s="296"/>
      <c r="T546" s="292"/>
    </row>
    <row r="547" ht="12.75" customHeight="1">
      <c r="D547" s="293"/>
      <c r="E547" s="107"/>
      <c r="F547" s="294"/>
      <c r="G547" s="295"/>
      <c r="J547" s="296"/>
      <c r="K547" s="295"/>
      <c r="M547" s="296"/>
      <c r="N547" s="295"/>
      <c r="P547" s="296"/>
      <c r="T547" s="292"/>
    </row>
    <row r="548" ht="12.75" customHeight="1">
      <c r="D548" s="293"/>
      <c r="E548" s="107"/>
      <c r="F548" s="294"/>
      <c r="G548" s="295"/>
      <c r="J548" s="296"/>
      <c r="K548" s="295"/>
      <c r="M548" s="296"/>
      <c r="N548" s="295"/>
      <c r="P548" s="296"/>
      <c r="T548" s="292"/>
    </row>
    <row r="549" ht="12.75" customHeight="1">
      <c r="D549" s="293"/>
      <c r="E549" s="107"/>
      <c r="F549" s="294"/>
      <c r="G549" s="295"/>
      <c r="J549" s="296"/>
      <c r="K549" s="295"/>
      <c r="M549" s="296"/>
      <c r="N549" s="295"/>
      <c r="P549" s="296"/>
      <c r="T549" s="292"/>
    </row>
    <row r="550" ht="12.75" customHeight="1">
      <c r="D550" s="293"/>
      <c r="E550" s="107"/>
      <c r="F550" s="294"/>
      <c r="G550" s="295"/>
      <c r="J550" s="296"/>
      <c r="K550" s="295"/>
      <c r="M550" s="296"/>
      <c r="N550" s="295"/>
      <c r="P550" s="296"/>
      <c r="T550" s="292"/>
    </row>
    <row r="551" ht="12.75" customHeight="1">
      <c r="D551" s="293"/>
      <c r="E551" s="107"/>
      <c r="F551" s="294"/>
      <c r="G551" s="295"/>
      <c r="J551" s="296"/>
      <c r="K551" s="295"/>
      <c r="M551" s="296"/>
      <c r="N551" s="295"/>
      <c r="P551" s="296"/>
      <c r="T551" s="292"/>
    </row>
    <row r="552" ht="12.75" customHeight="1">
      <c r="D552" s="293"/>
      <c r="E552" s="107"/>
      <c r="F552" s="294"/>
      <c r="G552" s="295"/>
      <c r="J552" s="296"/>
      <c r="K552" s="295"/>
      <c r="M552" s="296"/>
      <c r="N552" s="295"/>
      <c r="P552" s="296"/>
      <c r="T552" s="292"/>
    </row>
    <row r="553" ht="12.75" customHeight="1">
      <c r="D553" s="293"/>
      <c r="E553" s="107"/>
      <c r="F553" s="294"/>
      <c r="G553" s="295"/>
      <c r="J553" s="296"/>
      <c r="K553" s="295"/>
      <c r="M553" s="296"/>
      <c r="N553" s="295"/>
      <c r="P553" s="296"/>
      <c r="T553" s="292"/>
    </row>
    <row r="554" ht="12.75" customHeight="1">
      <c r="D554" s="293"/>
      <c r="E554" s="107"/>
      <c r="F554" s="294"/>
      <c r="G554" s="295"/>
      <c r="J554" s="296"/>
      <c r="K554" s="295"/>
      <c r="M554" s="296"/>
      <c r="N554" s="295"/>
      <c r="P554" s="296"/>
      <c r="T554" s="292"/>
    </row>
    <row r="555" ht="12.75" customHeight="1">
      <c r="D555" s="293"/>
      <c r="E555" s="107"/>
      <c r="F555" s="294"/>
      <c r="G555" s="295"/>
      <c r="J555" s="296"/>
      <c r="K555" s="295"/>
      <c r="M555" s="296"/>
      <c r="N555" s="295"/>
      <c r="P555" s="296"/>
      <c r="T555" s="292"/>
    </row>
    <row r="556" ht="12.75" customHeight="1">
      <c r="D556" s="293"/>
      <c r="E556" s="107"/>
      <c r="F556" s="294"/>
      <c r="G556" s="295"/>
      <c r="J556" s="296"/>
      <c r="K556" s="295"/>
      <c r="M556" s="296"/>
      <c r="N556" s="295"/>
      <c r="P556" s="296"/>
      <c r="T556" s="292"/>
    </row>
    <row r="557" ht="12.75" customHeight="1">
      <c r="D557" s="293"/>
      <c r="E557" s="107"/>
      <c r="F557" s="294"/>
      <c r="G557" s="295"/>
      <c r="J557" s="296"/>
      <c r="K557" s="295"/>
      <c r="M557" s="296"/>
      <c r="N557" s="295"/>
      <c r="P557" s="296"/>
      <c r="T557" s="292"/>
    </row>
    <row r="558" ht="12.75" customHeight="1">
      <c r="D558" s="293"/>
      <c r="E558" s="107"/>
      <c r="F558" s="294"/>
      <c r="G558" s="295"/>
      <c r="J558" s="296"/>
      <c r="K558" s="295"/>
      <c r="M558" s="296"/>
      <c r="N558" s="295"/>
      <c r="P558" s="296"/>
      <c r="T558" s="292"/>
    </row>
    <row r="559" ht="12.75" customHeight="1">
      <c r="D559" s="293"/>
      <c r="E559" s="107"/>
      <c r="F559" s="294"/>
      <c r="G559" s="295"/>
      <c r="J559" s="296"/>
      <c r="K559" s="295"/>
      <c r="M559" s="296"/>
      <c r="N559" s="295"/>
      <c r="P559" s="296"/>
      <c r="T559" s="292"/>
    </row>
    <row r="560" ht="12.75" customHeight="1">
      <c r="D560" s="293"/>
      <c r="E560" s="107"/>
      <c r="F560" s="294"/>
      <c r="G560" s="295"/>
      <c r="J560" s="296"/>
      <c r="K560" s="295"/>
      <c r="M560" s="296"/>
      <c r="N560" s="295"/>
      <c r="P560" s="296"/>
      <c r="T560" s="292"/>
    </row>
    <row r="561" ht="12.75" customHeight="1">
      <c r="D561" s="293"/>
      <c r="E561" s="107"/>
      <c r="F561" s="294"/>
      <c r="G561" s="295"/>
      <c r="J561" s="296"/>
      <c r="K561" s="295"/>
      <c r="M561" s="296"/>
      <c r="N561" s="295"/>
      <c r="P561" s="296"/>
      <c r="T561" s="292"/>
    </row>
    <row r="562" ht="12.75" customHeight="1">
      <c r="D562" s="293"/>
      <c r="E562" s="107"/>
      <c r="F562" s="294"/>
      <c r="G562" s="295"/>
      <c r="J562" s="296"/>
      <c r="K562" s="295"/>
      <c r="M562" s="296"/>
      <c r="N562" s="295"/>
      <c r="P562" s="296"/>
      <c r="T562" s="292"/>
    </row>
    <row r="563" ht="12.75" customHeight="1">
      <c r="D563" s="293"/>
      <c r="E563" s="107"/>
      <c r="F563" s="294"/>
      <c r="G563" s="295"/>
      <c r="J563" s="296"/>
      <c r="K563" s="295"/>
      <c r="M563" s="296"/>
      <c r="N563" s="295"/>
      <c r="P563" s="296"/>
      <c r="T563" s="292"/>
    </row>
    <row r="564" ht="12.75" customHeight="1">
      <c r="D564" s="293"/>
      <c r="E564" s="107"/>
      <c r="F564" s="294"/>
      <c r="G564" s="295"/>
      <c r="J564" s="296"/>
      <c r="K564" s="295"/>
      <c r="M564" s="296"/>
      <c r="N564" s="295"/>
      <c r="P564" s="296"/>
      <c r="T564" s="292"/>
    </row>
    <row r="565" ht="12.75" customHeight="1">
      <c r="D565" s="293"/>
      <c r="E565" s="107"/>
      <c r="F565" s="294"/>
      <c r="G565" s="295"/>
      <c r="J565" s="296"/>
      <c r="K565" s="295"/>
      <c r="M565" s="296"/>
      <c r="N565" s="295"/>
      <c r="P565" s="296"/>
      <c r="T565" s="292"/>
    </row>
    <row r="566" ht="12.75" customHeight="1">
      <c r="D566" s="293"/>
      <c r="E566" s="107"/>
      <c r="F566" s="294"/>
      <c r="G566" s="295"/>
      <c r="J566" s="296"/>
      <c r="K566" s="295"/>
      <c r="M566" s="296"/>
      <c r="N566" s="295"/>
      <c r="P566" s="296"/>
      <c r="T566" s="292"/>
    </row>
    <row r="567" ht="12.75" customHeight="1">
      <c r="D567" s="293"/>
      <c r="E567" s="107"/>
      <c r="F567" s="294"/>
      <c r="G567" s="295"/>
      <c r="J567" s="296"/>
      <c r="K567" s="295"/>
      <c r="M567" s="296"/>
      <c r="N567" s="295"/>
      <c r="P567" s="296"/>
      <c r="T567" s="292"/>
    </row>
    <row r="568" ht="12.75" customHeight="1">
      <c r="D568" s="293"/>
      <c r="E568" s="107"/>
      <c r="F568" s="294"/>
      <c r="G568" s="295"/>
      <c r="J568" s="296"/>
      <c r="K568" s="295"/>
      <c r="M568" s="296"/>
      <c r="N568" s="295"/>
      <c r="P568" s="296"/>
      <c r="T568" s="292"/>
    </row>
    <row r="569" ht="12.75" customHeight="1">
      <c r="D569" s="293"/>
      <c r="E569" s="107"/>
      <c r="F569" s="294"/>
      <c r="G569" s="295"/>
      <c r="J569" s="296"/>
      <c r="K569" s="295"/>
      <c r="M569" s="296"/>
      <c r="N569" s="295"/>
      <c r="P569" s="296"/>
      <c r="T569" s="292"/>
    </row>
    <row r="570" ht="12.75" customHeight="1">
      <c r="D570" s="293"/>
      <c r="E570" s="107"/>
      <c r="F570" s="294"/>
      <c r="G570" s="295"/>
      <c r="J570" s="296"/>
      <c r="K570" s="295"/>
      <c r="M570" s="296"/>
      <c r="N570" s="295"/>
      <c r="P570" s="296"/>
      <c r="T570" s="292"/>
    </row>
    <row r="571" ht="12.75" customHeight="1">
      <c r="D571" s="293"/>
      <c r="E571" s="107"/>
      <c r="F571" s="294"/>
      <c r="G571" s="295"/>
      <c r="J571" s="296"/>
      <c r="K571" s="295"/>
      <c r="M571" s="296"/>
      <c r="N571" s="295"/>
      <c r="P571" s="296"/>
      <c r="T571" s="292"/>
    </row>
    <row r="572" ht="12.75" customHeight="1">
      <c r="D572" s="293"/>
      <c r="E572" s="107"/>
      <c r="F572" s="294"/>
      <c r="G572" s="295"/>
      <c r="J572" s="296"/>
      <c r="K572" s="295"/>
      <c r="M572" s="296"/>
      <c r="N572" s="295"/>
      <c r="P572" s="296"/>
      <c r="T572" s="292"/>
    </row>
    <row r="573" ht="12.75" customHeight="1">
      <c r="D573" s="293"/>
      <c r="E573" s="107"/>
      <c r="F573" s="294"/>
      <c r="G573" s="295"/>
      <c r="J573" s="296"/>
      <c r="K573" s="295"/>
      <c r="M573" s="296"/>
      <c r="N573" s="295"/>
      <c r="P573" s="296"/>
      <c r="T573" s="292"/>
    </row>
    <row r="574" ht="12.75" customHeight="1">
      <c r="D574" s="293"/>
      <c r="E574" s="107"/>
      <c r="F574" s="294"/>
      <c r="G574" s="295"/>
      <c r="J574" s="296"/>
      <c r="K574" s="295"/>
      <c r="M574" s="296"/>
      <c r="N574" s="295"/>
      <c r="P574" s="296"/>
      <c r="T574" s="292"/>
    </row>
    <row r="575" ht="12.75" customHeight="1">
      <c r="D575" s="293"/>
      <c r="E575" s="107"/>
      <c r="F575" s="294"/>
      <c r="G575" s="295"/>
      <c r="J575" s="296"/>
      <c r="K575" s="295"/>
      <c r="M575" s="296"/>
      <c r="N575" s="295"/>
      <c r="P575" s="296"/>
      <c r="T575" s="292"/>
    </row>
    <row r="576" ht="12.75" customHeight="1">
      <c r="D576" s="293"/>
      <c r="E576" s="107"/>
      <c r="F576" s="294"/>
      <c r="G576" s="295"/>
      <c r="J576" s="296"/>
      <c r="K576" s="295"/>
      <c r="M576" s="296"/>
      <c r="N576" s="295"/>
      <c r="P576" s="296"/>
      <c r="T576" s="292"/>
    </row>
    <row r="577" ht="12.75" customHeight="1">
      <c r="D577" s="293"/>
      <c r="E577" s="107"/>
      <c r="F577" s="294"/>
      <c r="G577" s="295"/>
      <c r="J577" s="296"/>
      <c r="K577" s="295"/>
      <c r="M577" s="296"/>
      <c r="N577" s="295"/>
      <c r="P577" s="296"/>
      <c r="T577" s="292"/>
    </row>
    <row r="578" ht="12.75" customHeight="1">
      <c r="D578" s="293"/>
      <c r="E578" s="107"/>
      <c r="F578" s="294"/>
      <c r="G578" s="295"/>
      <c r="J578" s="296"/>
      <c r="K578" s="295"/>
      <c r="M578" s="296"/>
      <c r="N578" s="295"/>
      <c r="P578" s="296"/>
      <c r="T578" s="292"/>
    </row>
    <row r="579" ht="12.75" customHeight="1">
      <c r="D579" s="293"/>
      <c r="E579" s="107"/>
      <c r="F579" s="294"/>
      <c r="G579" s="295"/>
      <c r="J579" s="296"/>
      <c r="K579" s="295"/>
      <c r="M579" s="296"/>
      <c r="N579" s="295"/>
      <c r="P579" s="296"/>
      <c r="T579" s="292"/>
    </row>
    <row r="580" ht="12.75" customHeight="1">
      <c r="D580" s="293"/>
      <c r="E580" s="107"/>
      <c r="F580" s="294"/>
      <c r="G580" s="295"/>
      <c r="J580" s="296"/>
      <c r="K580" s="295"/>
      <c r="M580" s="296"/>
      <c r="N580" s="295"/>
      <c r="P580" s="296"/>
      <c r="T580" s="292"/>
    </row>
    <row r="581" ht="12.75" customHeight="1">
      <c r="D581" s="293"/>
      <c r="E581" s="107"/>
      <c r="F581" s="294"/>
      <c r="G581" s="295"/>
      <c r="J581" s="296"/>
      <c r="K581" s="295"/>
      <c r="M581" s="296"/>
      <c r="N581" s="295"/>
      <c r="P581" s="296"/>
      <c r="T581" s="292"/>
    </row>
    <row r="582" ht="12.75" customHeight="1">
      <c r="D582" s="293"/>
      <c r="E582" s="107"/>
      <c r="F582" s="294"/>
      <c r="G582" s="295"/>
      <c r="J582" s="296"/>
      <c r="K582" s="295"/>
      <c r="M582" s="296"/>
      <c r="N582" s="295"/>
      <c r="P582" s="296"/>
      <c r="T582" s="292"/>
    </row>
    <row r="583" ht="12.75" customHeight="1">
      <c r="D583" s="293"/>
      <c r="E583" s="107"/>
      <c r="F583" s="294"/>
      <c r="G583" s="295"/>
      <c r="J583" s="296"/>
      <c r="K583" s="295"/>
      <c r="M583" s="296"/>
      <c r="N583" s="295"/>
      <c r="P583" s="296"/>
      <c r="T583" s="292"/>
    </row>
    <row r="584" ht="12.75" customHeight="1">
      <c r="D584" s="293"/>
      <c r="E584" s="107"/>
      <c r="F584" s="294"/>
      <c r="G584" s="295"/>
      <c r="J584" s="296"/>
      <c r="K584" s="295"/>
      <c r="M584" s="296"/>
      <c r="N584" s="295"/>
      <c r="P584" s="296"/>
      <c r="T584" s="292"/>
    </row>
    <row r="585" ht="12.75" customHeight="1">
      <c r="D585" s="293"/>
      <c r="E585" s="107"/>
      <c r="F585" s="294"/>
      <c r="G585" s="295"/>
      <c r="J585" s="296"/>
      <c r="K585" s="295"/>
      <c r="M585" s="296"/>
      <c r="N585" s="295"/>
      <c r="P585" s="296"/>
      <c r="T585" s="292"/>
    </row>
    <row r="586" ht="12.75" customHeight="1">
      <c r="D586" s="293"/>
      <c r="E586" s="107"/>
      <c r="F586" s="294"/>
      <c r="G586" s="295"/>
      <c r="J586" s="296"/>
      <c r="K586" s="295"/>
      <c r="M586" s="296"/>
      <c r="N586" s="295"/>
      <c r="P586" s="296"/>
      <c r="T586" s="292"/>
    </row>
    <row r="587" ht="12.75" customHeight="1">
      <c r="D587" s="293"/>
      <c r="E587" s="107"/>
      <c r="F587" s="294"/>
      <c r="G587" s="295"/>
      <c r="J587" s="296"/>
      <c r="K587" s="295"/>
      <c r="M587" s="296"/>
      <c r="N587" s="295"/>
      <c r="P587" s="296"/>
      <c r="T587" s="292"/>
    </row>
    <row r="588" ht="12.75" customHeight="1">
      <c r="D588" s="293"/>
      <c r="E588" s="107"/>
      <c r="F588" s="294"/>
      <c r="G588" s="295"/>
      <c r="J588" s="296"/>
      <c r="K588" s="295"/>
      <c r="M588" s="296"/>
      <c r="N588" s="295"/>
      <c r="P588" s="296"/>
      <c r="T588" s="292"/>
    </row>
    <row r="589" ht="12.75" customHeight="1">
      <c r="D589" s="293"/>
      <c r="E589" s="107"/>
      <c r="F589" s="294"/>
      <c r="G589" s="295"/>
      <c r="J589" s="296"/>
      <c r="K589" s="295"/>
      <c r="M589" s="296"/>
      <c r="N589" s="295"/>
      <c r="P589" s="296"/>
      <c r="T589" s="292"/>
    </row>
    <row r="590" ht="12.75" customHeight="1">
      <c r="D590" s="293"/>
      <c r="E590" s="107"/>
      <c r="F590" s="294"/>
      <c r="G590" s="295"/>
      <c r="J590" s="296"/>
      <c r="K590" s="295"/>
      <c r="M590" s="296"/>
      <c r="N590" s="295"/>
      <c r="P590" s="296"/>
      <c r="T590" s="292"/>
    </row>
    <row r="591" ht="12.75" customHeight="1">
      <c r="D591" s="293"/>
      <c r="E591" s="107"/>
      <c r="F591" s="294"/>
      <c r="G591" s="295"/>
      <c r="J591" s="296"/>
      <c r="K591" s="295"/>
      <c r="M591" s="296"/>
      <c r="N591" s="295"/>
      <c r="P591" s="296"/>
      <c r="T591" s="292"/>
    </row>
    <row r="592" ht="12.75" customHeight="1">
      <c r="D592" s="293"/>
      <c r="E592" s="107"/>
      <c r="F592" s="294"/>
      <c r="G592" s="295"/>
      <c r="J592" s="296"/>
      <c r="K592" s="295"/>
      <c r="M592" s="296"/>
      <c r="N592" s="295"/>
      <c r="P592" s="296"/>
      <c r="T592" s="292"/>
    </row>
    <row r="593" ht="12.75" customHeight="1">
      <c r="D593" s="293"/>
      <c r="E593" s="107"/>
      <c r="F593" s="294"/>
      <c r="G593" s="295"/>
      <c r="J593" s="296"/>
      <c r="K593" s="295"/>
      <c r="M593" s="296"/>
      <c r="N593" s="295"/>
      <c r="P593" s="296"/>
      <c r="T593" s="292"/>
    </row>
    <row r="594" ht="12.75" customHeight="1">
      <c r="D594" s="293"/>
      <c r="E594" s="107"/>
      <c r="F594" s="294"/>
      <c r="G594" s="295"/>
      <c r="J594" s="296"/>
      <c r="K594" s="295"/>
      <c r="M594" s="296"/>
      <c r="N594" s="295"/>
      <c r="P594" s="296"/>
      <c r="T594" s="292"/>
    </row>
    <row r="595" ht="12.75" customHeight="1">
      <c r="D595" s="293"/>
      <c r="E595" s="107"/>
      <c r="F595" s="294"/>
      <c r="G595" s="295"/>
      <c r="J595" s="296"/>
      <c r="K595" s="295"/>
      <c r="M595" s="296"/>
      <c r="N595" s="295"/>
      <c r="P595" s="296"/>
      <c r="T595" s="292"/>
    </row>
    <row r="596" ht="12.75" customHeight="1">
      <c r="D596" s="293"/>
      <c r="E596" s="107"/>
      <c r="F596" s="294"/>
      <c r="G596" s="295"/>
      <c r="J596" s="296"/>
      <c r="K596" s="295"/>
      <c r="M596" s="296"/>
      <c r="N596" s="295"/>
      <c r="P596" s="296"/>
      <c r="T596" s="292"/>
    </row>
    <row r="597" ht="12.75" customHeight="1">
      <c r="D597" s="293"/>
      <c r="E597" s="107"/>
      <c r="F597" s="294"/>
      <c r="G597" s="295"/>
      <c r="J597" s="296"/>
      <c r="K597" s="295"/>
      <c r="M597" s="296"/>
      <c r="N597" s="295"/>
      <c r="P597" s="296"/>
      <c r="T597" s="292"/>
    </row>
    <row r="598" ht="12.75" customHeight="1">
      <c r="D598" s="293"/>
      <c r="E598" s="107"/>
      <c r="F598" s="294"/>
      <c r="G598" s="295"/>
      <c r="J598" s="296"/>
      <c r="K598" s="295"/>
      <c r="M598" s="296"/>
      <c r="N598" s="295"/>
      <c r="P598" s="296"/>
      <c r="T598" s="292"/>
    </row>
    <row r="599" ht="12.75" customHeight="1">
      <c r="D599" s="293"/>
      <c r="E599" s="107"/>
      <c r="F599" s="294"/>
      <c r="G599" s="295"/>
      <c r="J599" s="296"/>
      <c r="K599" s="295"/>
      <c r="M599" s="296"/>
      <c r="N599" s="295"/>
      <c r="P599" s="296"/>
      <c r="T599" s="292"/>
    </row>
    <row r="600" ht="12.75" customHeight="1">
      <c r="D600" s="293"/>
      <c r="E600" s="107"/>
      <c r="F600" s="294"/>
      <c r="G600" s="295"/>
      <c r="J600" s="296"/>
      <c r="K600" s="295"/>
      <c r="M600" s="296"/>
      <c r="N600" s="295"/>
      <c r="P600" s="296"/>
      <c r="T600" s="292"/>
    </row>
    <row r="601" ht="12.75" customHeight="1">
      <c r="D601" s="293"/>
      <c r="E601" s="107"/>
      <c r="F601" s="294"/>
      <c r="G601" s="295"/>
      <c r="J601" s="296"/>
      <c r="K601" s="295"/>
      <c r="M601" s="296"/>
      <c r="N601" s="295"/>
      <c r="P601" s="296"/>
      <c r="T601" s="292"/>
    </row>
    <row r="602" ht="12.75" customHeight="1">
      <c r="D602" s="293"/>
      <c r="E602" s="107"/>
      <c r="F602" s="294"/>
      <c r="G602" s="295"/>
      <c r="J602" s="296"/>
      <c r="K602" s="295"/>
      <c r="M602" s="296"/>
      <c r="N602" s="295"/>
      <c r="P602" s="296"/>
      <c r="T602" s="292"/>
    </row>
    <row r="603" ht="12.75" customHeight="1">
      <c r="D603" s="293"/>
      <c r="E603" s="107"/>
      <c r="F603" s="294"/>
      <c r="G603" s="295"/>
      <c r="J603" s="296"/>
      <c r="K603" s="295"/>
      <c r="M603" s="296"/>
      <c r="N603" s="295"/>
      <c r="P603" s="296"/>
      <c r="T603" s="292"/>
    </row>
    <row r="604" ht="12.75" customHeight="1">
      <c r="D604" s="293"/>
      <c r="E604" s="107"/>
      <c r="F604" s="294"/>
      <c r="G604" s="295"/>
      <c r="J604" s="296"/>
      <c r="K604" s="295"/>
      <c r="M604" s="296"/>
      <c r="N604" s="295"/>
      <c r="P604" s="296"/>
      <c r="T604" s="292"/>
    </row>
    <row r="605" ht="12.75" customHeight="1">
      <c r="D605" s="293"/>
      <c r="E605" s="107"/>
      <c r="F605" s="294"/>
      <c r="G605" s="295"/>
      <c r="J605" s="296"/>
      <c r="K605" s="295"/>
      <c r="M605" s="296"/>
      <c r="N605" s="295"/>
      <c r="P605" s="296"/>
      <c r="T605" s="292"/>
    </row>
    <row r="606" ht="12.75" customHeight="1">
      <c r="D606" s="293"/>
      <c r="E606" s="107"/>
      <c r="F606" s="294"/>
      <c r="G606" s="295"/>
      <c r="J606" s="296"/>
      <c r="K606" s="295"/>
      <c r="M606" s="296"/>
      <c r="N606" s="295"/>
      <c r="P606" s="296"/>
      <c r="T606" s="292"/>
    </row>
    <row r="607" ht="12.75" customHeight="1">
      <c r="D607" s="293"/>
      <c r="E607" s="107"/>
      <c r="F607" s="294"/>
      <c r="G607" s="295"/>
      <c r="J607" s="296"/>
      <c r="K607" s="295"/>
      <c r="M607" s="296"/>
      <c r="N607" s="295"/>
      <c r="P607" s="296"/>
      <c r="T607" s="292"/>
    </row>
    <row r="608" ht="12.75" customHeight="1">
      <c r="D608" s="293"/>
      <c r="E608" s="107"/>
      <c r="F608" s="294"/>
      <c r="G608" s="295"/>
      <c r="J608" s="296"/>
      <c r="K608" s="295"/>
      <c r="M608" s="296"/>
      <c r="N608" s="295"/>
      <c r="P608" s="296"/>
      <c r="T608" s="292"/>
    </row>
    <row r="609" ht="12.75" customHeight="1">
      <c r="D609" s="293"/>
      <c r="E609" s="107"/>
      <c r="F609" s="294"/>
      <c r="G609" s="295"/>
      <c r="J609" s="296"/>
      <c r="K609" s="295"/>
      <c r="M609" s="296"/>
      <c r="N609" s="295"/>
      <c r="P609" s="296"/>
      <c r="T609" s="292"/>
    </row>
    <row r="610" ht="12.75" customHeight="1">
      <c r="D610" s="293"/>
      <c r="E610" s="107"/>
      <c r="F610" s="294"/>
      <c r="G610" s="295"/>
      <c r="J610" s="296"/>
      <c r="K610" s="295"/>
      <c r="M610" s="296"/>
      <c r="N610" s="295"/>
      <c r="P610" s="296"/>
      <c r="T610" s="292"/>
    </row>
    <row r="611" ht="12.75" customHeight="1">
      <c r="D611" s="293"/>
      <c r="E611" s="107"/>
      <c r="F611" s="294"/>
      <c r="G611" s="295"/>
      <c r="J611" s="296"/>
      <c r="K611" s="295"/>
      <c r="M611" s="296"/>
      <c r="N611" s="295"/>
      <c r="P611" s="296"/>
      <c r="T611" s="292"/>
    </row>
    <row r="612" ht="12.75" customHeight="1">
      <c r="D612" s="293"/>
      <c r="E612" s="107"/>
      <c r="F612" s="294"/>
      <c r="G612" s="295"/>
      <c r="J612" s="296"/>
      <c r="K612" s="295"/>
      <c r="M612" s="296"/>
      <c r="N612" s="295"/>
      <c r="P612" s="296"/>
      <c r="T612" s="292"/>
    </row>
    <row r="613" ht="12.75" customHeight="1">
      <c r="D613" s="293"/>
      <c r="E613" s="107"/>
      <c r="F613" s="294"/>
      <c r="G613" s="295"/>
      <c r="J613" s="296"/>
      <c r="K613" s="295"/>
      <c r="M613" s="296"/>
      <c r="N613" s="295"/>
      <c r="P613" s="296"/>
      <c r="T613" s="292"/>
    </row>
    <row r="614" ht="12.75" customHeight="1">
      <c r="D614" s="293"/>
      <c r="E614" s="107"/>
      <c r="F614" s="294"/>
      <c r="G614" s="295"/>
      <c r="J614" s="296"/>
      <c r="K614" s="295"/>
      <c r="M614" s="296"/>
      <c r="N614" s="295"/>
      <c r="P614" s="296"/>
      <c r="T614" s="292"/>
    </row>
    <row r="615" ht="12.75" customHeight="1">
      <c r="D615" s="293"/>
      <c r="E615" s="107"/>
      <c r="F615" s="294"/>
      <c r="G615" s="295"/>
      <c r="J615" s="296"/>
      <c r="K615" s="295"/>
      <c r="M615" s="296"/>
      <c r="N615" s="295"/>
      <c r="P615" s="296"/>
      <c r="T615" s="292"/>
    </row>
    <row r="616" ht="12.75" customHeight="1">
      <c r="D616" s="293"/>
      <c r="E616" s="107"/>
      <c r="F616" s="294"/>
      <c r="G616" s="295"/>
      <c r="J616" s="296"/>
      <c r="K616" s="295"/>
      <c r="M616" s="296"/>
      <c r="N616" s="295"/>
      <c r="P616" s="296"/>
      <c r="T616" s="292"/>
    </row>
    <row r="617" ht="12.75" customHeight="1">
      <c r="D617" s="293"/>
      <c r="E617" s="107"/>
      <c r="F617" s="294"/>
      <c r="G617" s="295"/>
      <c r="J617" s="296"/>
      <c r="K617" s="295"/>
      <c r="M617" s="296"/>
      <c r="N617" s="295"/>
      <c r="P617" s="296"/>
      <c r="T617" s="292"/>
    </row>
    <row r="618" ht="12.75" customHeight="1">
      <c r="D618" s="293"/>
      <c r="E618" s="107"/>
      <c r="F618" s="294"/>
      <c r="G618" s="295"/>
      <c r="J618" s="296"/>
      <c r="K618" s="295"/>
      <c r="M618" s="296"/>
      <c r="N618" s="295"/>
      <c r="P618" s="296"/>
      <c r="T618" s="292"/>
    </row>
    <row r="619" ht="12.75" customHeight="1">
      <c r="D619" s="293"/>
      <c r="E619" s="107"/>
      <c r="F619" s="294"/>
      <c r="G619" s="295"/>
      <c r="J619" s="296"/>
      <c r="K619" s="295"/>
      <c r="M619" s="296"/>
      <c r="N619" s="295"/>
      <c r="P619" s="296"/>
      <c r="T619" s="292"/>
    </row>
    <row r="620" ht="12.75" customHeight="1">
      <c r="D620" s="293"/>
      <c r="E620" s="107"/>
      <c r="F620" s="294"/>
      <c r="G620" s="295"/>
      <c r="J620" s="296"/>
      <c r="K620" s="295"/>
      <c r="M620" s="296"/>
      <c r="N620" s="295"/>
      <c r="P620" s="296"/>
      <c r="T620" s="292"/>
    </row>
    <row r="621" ht="12.75" customHeight="1">
      <c r="D621" s="293"/>
      <c r="E621" s="107"/>
      <c r="F621" s="294"/>
      <c r="G621" s="295"/>
      <c r="J621" s="296"/>
      <c r="K621" s="295"/>
      <c r="M621" s="296"/>
      <c r="N621" s="295"/>
      <c r="P621" s="296"/>
      <c r="T621" s="292"/>
    </row>
    <row r="622" ht="12.75" customHeight="1">
      <c r="D622" s="293"/>
      <c r="E622" s="107"/>
      <c r="F622" s="294"/>
      <c r="G622" s="295"/>
      <c r="J622" s="296"/>
      <c r="K622" s="295"/>
      <c r="M622" s="296"/>
      <c r="N622" s="295"/>
      <c r="P622" s="296"/>
      <c r="T622" s="292"/>
    </row>
    <row r="623" ht="12.75" customHeight="1">
      <c r="D623" s="293"/>
      <c r="E623" s="107"/>
      <c r="F623" s="294"/>
      <c r="G623" s="295"/>
      <c r="J623" s="296"/>
      <c r="K623" s="295"/>
      <c r="M623" s="296"/>
      <c r="N623" s="295"/>
      <c r="P623" s="296"/>
      <c r="T623" s="292"/>
    </row>
    <row r="624" ht="12.75" customHeight="1">
      <c r="D624" s="293"/>
      <c r="E624" s="107"/>
      <c r="F624" s="294"/>
      <c r="G624" s="295"/>
      <c r="J624" s="296"/>
      <c r="K624" s="295"/>
      <c r="M624" s="296"/>
      <c r="N624" s="295"/>
      <c r="P624" s="296"/>
      <c r="T624" s="292"/>
    </row>
    <row r="625" ht="12.75" customHeight="1">
      <c r="D625" s="293"/>
      <c r="E625" s="107"/>
      <c r="F625" s="294"/>
      <c r="G625" s="295"/>
      <c r="J625" s="296"/>
      <c r="K625" s="295"/>
      <c r="M625" s="296"/>
      <c r="N625" s="295"/>
      <c r="P625" s="296"/>
      <c r="T625" s="292"/>
    </row>
    <row r="626" ht="12.75" customHeight="1">
      <c r="D626" s="293"/>
      <c r="E626" s="107"/>
      <c r="F626" s="294"/>
      <c r="G626" s="295"/>
      <c r="J626" s="296"/>
      <c r="K626" s="295"/>
      <c r="M626" s="296"/>
      <c r="N626" s="295"/>
      <c r="P626" s="296"/>
      <c r="T626" s="292"/>
    </row>
    <row r="627" ht="12.75" customHeight="1">
      <c r="D627" s="293"/>
      <c r="E627" s="107"/>
      <c r="F627" s="294"/>
      <c r="G627" s="295"/>
      <c r="J627" s="296"/>
      <c r="K627" s="295"/>
      <c r="M627" s="296"/>
      <c r="N627" s="295"/>
      <c r="P627" s="296"/>
      <c r="T627" s="292"/>
    </row>
    <row r="628" ht="12.75" customHeight="1">
      <c r="D628" s="293"/>
      <c r="E628" s="107"/>
      <c r="F628" s="294"/>
      <c r="G628" s="295"/>
      <c r="J628" s="296"/>
      <c r="K628" s="295"/>
      <c r="M628" s="296"/>
      <c r="N628" s="295"/>
      <c r="P628" s="296"/>
      <c r="T628" s="292"/>
    </row>
    <row r="629" ht="12.75" customHeight="1">
      <c r="D629" s="293"/>
      <c r="E629" s="107"/>
      <c r="F629" s="294"/>
      <c r="G629" s="295"/>
      <c r="J629" s="296"/>
      <c r="K629" s="295"/>
      <c r="M629" s="296"/>
      <c r="N629" s="295"/>
      <c r="P629" s="296"/>
      <c r="T629" s="292"/>
    </row>
    <row r="630" ht="12.75" customHeight="1">
      <c r="D630" s="293"/>
      <c r="E630" s="107"/>
      <c r="F630" s="294"/>
      <c r="G630" s="295"/>
      <c r="J630" s="296"/>
      <c r="K630" s="295"/>
      <c r="M630" s="296"/>
      <c r="N630" s="295"/>
      <c r="P630" s="296"/>
      <c r="T630" s="292"/>
    </row>
    <row r="631" ht="12.75" customHeight="1">
      <c r="D631" s="293"/>
      <c r="E631" s="107"/>
      <c r="F631" s="294"/>
      <c r="G631" s="295"/>
      <c r="J631" s="296"/>
      <c r="K631" s="295"/>
      <c r="M631" s="296"/>
      <c r="N631" s="295"/>
      <c r="P631" s="296"/>
      <c r="T631" s="292"/>
    </row>
    <row r="632" ht="12.75" customHeight="1">
      <c r="D632" s="293"/>
      <c r="E632" s="107"/>
      <c r="F632" s="294"/>
      <c r="G632" s="295"/>
      <c r="J632" s="296"/>
      <c r="K632" s="295"/>
      <c r="M632" s="296"/>
      <c r="N632" s="295"/>
      <c r="P632" s="296"/>
      <c r="T632" s="292"/>
    </row>
    <row r="633" ht="12.75" customHeight="1">
      <c r="D633" s="293"/>
      <c r="E633" s="107"/>
      <c r="F633" s="294"/>
      <c r="G633" s="295"/>
      <c r="J633" s="296"/>
      <c r="K633" s="295"/>
      <c r="M633" s="296"/>
      <c r="N633" s="295"/>
      <c r="P633" s="296"/>
      <c r="T633" s="292"/>
    </row>
    <row r="634" ht="12.75" customHeight="1">
      <c r="D634" s="293"/>
      <c r="E634" s="107"/>
      <c r="F634" s="294"/>
      <c r="G634" s="295"/>
      <c r="J634" s="296"/>
      <c r="K634" s="295"/>
      <c r="M634" s="296"/>
      <c r="N634" s="295"/>
      <c r="P634" s="296"/>
      <c r="T634" s="292"/>
    </row>
    <row r="635" ht="12.75" customHeight="1">
      <c r="D635" s="293"/>
      <c r="E635" s="107"/>
      <c r="F635" s="294"/>
      <c r="G635" s="295"/>
      <c r="J635" s="296"/>
      <c r="K635" s="295"/>
      <c r="M635" s="296"/>
      <c r="N635" s="295"/>
      <c r="P635" s="296"/>
      <c r="T635" s="292"/>
    </row>
    <row r="636" ht="12.75" customHeight="1">
      <c r="D636" s="293"/>
      <c r="E636" s="107"/>
      <c r="F636" s="294"/>
      <c r="G636" s="295"/>
      <c r="J636" s="296"/>
      <c r="K636" s="295"/>
      <c r="M636" s="296"/>
      <c r="N636" s="295"/>
      <c r="P636" s="296"/>
      <c r="T636" s="292"/>
    </row>
    <row r="637" ht="12.75" customHeight="1">
      <c r="D637" s="293"/>
      <c r="E637" s="107"/>
      <c r="F637" s="294"/>
      <c r="G637" s="295"/>
      <c r="J637" s="296"/>
      <c r="K637" s="295"/>
      <c r="M637" s="296"/>
      <c r="N637" s="295"/>
      <c r="P637" s="296"/>
      <c r="T637" s="292"/>
    </row>
    <row r="638" ht="12.75" customHeight="1">
      <c r="D638" s="293"/>
      <c r="E638" s="107"/>
      <c r="F638" s="294"/>
      <c r="G638" s="295"/>
      <c r="J638" s="296"/>
      <c r="K638" s="295"/>
      <c r="M638" s="296"/>
      <c r="N638" s="295"/>
      <c r="P638" s="296"/>
      <c r="T638" s="292"/>
    </row>
    <row r="639" ht="12.75" customHeight="1">
      <c r="D639" s="293"/>
      <c r="E639" s="107"/>
      <c r="F639" s="294"/>
      <c r="G639" s="295"/>
      <c r="J639" s="296"/>
      <c r="K639" s="295"/>
      <c r="M639" s="296"/>
      <c r="N639" s="295"/>
      <c r="P639" s="296"/>
      <c r="T639" s="292"/>
    </row>
    <row r="640" ht="12.75" customHeight="1">
      <c r="D640" s="293"/>
      <c r="E640" s="107"/>
      <c r="F640" s="294"/>
      <c r="G640" s="295"/>
      <c r="J640" s="296"/>
      <c r="K640" s="295"/>
      <c r="M640" s="296"/>
      <c r="N640" s="295"/>
      <c r="P640" s="296"/>
      <c r="T640" s="292"/>
    </row>
    <row r="641" ht="12.75" customHeight="1">
      <c r="D641" s="293"/>
      <c r="E641" s="107"/>
      <c r="F641" s="294"/>
      <c r="G641" s="295"/>
      <c r="J641" s="296"/>
      <c r="K641" s="295"/>
      <c r="M641" s="296"/>
      <c r="N641" s="295"/>
      <c r="P641" s="296"/>
      <c r="T641" s="292"/>
    </row>
    <row r="642" ht="12.75" customHeight="1">
      <c r="D642" s="293"/>
      <c r="E642" s="107"/>
      <c r="F642" s="294"/>
      <c r="G642" s="295"/>
      <c r="J642" s="296"/>
      <c r="K642" s="295"/>
      <c r="M642" s="296"/>
      <c r="N642" s="295"/>
      <c r="P642" s="296"/>
      <c r="T642" s="292"/>
    </row>
    <row r="643" ht="12.75" customHeight="1">
      <c r="D643" s="293"/>
      <c r="E643" s="107"/>
      <c r="F643" s="294"/>
      <c r="G643" s="295"/>
      <c r="J643" s="296"/>
      <c r="K643" s="295"/>
      <c r="M643" s="296"/>
      <c r="N643" s="295"/>
      <c r="P643" s="296"/>
      <c r="T643" s="292"/>
    </row>
    <row r="644" ht="12.75" customHeight="1">
      <c r="D644" s="293"/>
      <c r="E644" s="107"/>
      <c r="F644" s="294"/>
      <c r="G644" s="295"/>
      <c r="J644" s="296"/>
      <c r="K644" s="295"/>
      <c r="M644" s="296"/>
      <c r="N644" s="295"/>
      <c r="P644" s="296"/>
      <c r="T644" s="292"/>
    </row>
    <row r="645" ht="12.75" customHeight="1">
      <c r="D645" s="293"/>
      <c r="E645" s="107"/>
      <c r="F645" s="294"/>
      <c r="G645" s="295"/>
      <c r="J645" s="296"/>
      <c r="K645" s="295"/>
      <c r="M645" s="296"/>
      <c r="N645" s="295"/>
      <c r="P645" s="296"/>
      <c r="T645" s="292"/>
    </row>
    <row r="646" ht="12.75" customHeight="1">
      <c r="D646" s="293"/>
      <c r="E646" s="107"/>
      <c r="F646" s="294"/>
      <c r="G646" s="295"/>
      <c r="J646" s="296"/>
      <c r="K646" s="295"/>
      <c r="M646" s="296"/>
      <c r="N646" s="295"/>
      <c r="P646" s="296"/>
      <c r="T646" s="292"/>
    </row>
    <row r="647" ht="12.75" customHeight="1">
      <c r="D647" s="293"/>
      <c r="E647" s="107"/>
      <c r="F647" s="294"/>
      <c r="G647" s="295"/>
      <c r="J647" s="296"/>
      <c r="K647" s="295"/>
      <c r="M647" s="296"/>
      <c r="N647" s="295"/>
      <c r="P647" s="296"/>
      <c r="T647" s="292"/>
    </row>
    <row r="648" ht="12.75" customHeight="1">
      <c r="D648" s="293"/>
      <c r="E648" s="107"/>
      <c r="F648" s="294"/>
      <c r="G648" s="295"/>
      <c r="J648" s="296"/>
      <c r="K648" s="295"/>
      <c r="M648" s="296"/>
      <c r="N648" s="295"/>
      <c r="P648" s="296"/>
      <c r="T648" s="292"/>
    </row>
    <row r="649" ht="12.75" customHeight="1">
      <c r="D649" s="293"/>
      <c r="E649" s="107"/>
      <c r="F649" s="294"/>
      <c r="G649" s="295"/>
      <c r="J649" s="296"/>
      <c r="K649" s="295"/>
      <c r="M649" s="296"/>
      <c r="N649" s="295"/>
      <c r="P649" s="296"/>
      <c r="T649" s="292"/>
    </row>
    <row r="650" ht="12.75" customHeight="1">
      <c r="D650" s="293"/>
      <c r="E650" s="107"/>
      <c r="F650" s="294"/>
      <c r="G650" s="295"/>
      <c r="J650" s="296"/>
      <c r="K650" s="295"/>
      <c r="M650" s="296"/>
      <c r="N650" s="295"/>
      <c r="P650" s="296"/>
      <c r="T650" s="292"/>
    </row>
    <row r="651" ht="12.75" customHeight="1">
      <c r="D651" s="293"/>
      <c r="E651" s="107"/>
      <c r="F651" s="294"/>
      <c r="G651" s="295"/>
      <c r="J651" s="296"/>
      <c r="K651" s="295"/>
      <c r="M651" s="296"/>
      <c r="N651" s="295"/>
      <c r="P651" s="296"/>
      <c r="T651" s="292"/>
    </row>
    <row r="652" ht="12.75" customHeight="1">
      <c r="D652" s="293"/>
      <c r="E652" s="107"/>
      <c r="F652" s="294"/>
      <c r="G652" s="295"/>
      <c r="J652" s="296"/>
      <c r="K652" s="295"/>
      <c r="M652" s="296"/>
      <c r="N652" s="295"/>
      <c r="P652" s="296"/>
      <c r="T652" s="292"/>
    </row>
    <row r="653" ht="12.75" customHeight="1">
      <c r="D653" s="293"/>
      <c r="E653" s="107"/>
      <c r="F653" s="294"/>
      <c r="G653" s="295"/>
      <c r="J653" s="296"/>
      <c r="K653" s="295"/>
      <c r="M653" s="296"/>
      <c r="N653" s="295"/>
      <c r="P653" s="296"/>
      <c r="T653" s="292"/>
    </row>
    <row r="654" ht="12.75" customHeight="1">
      <c r="D654" s="293"/>
      <c r="E654" s="107"/>
      <c r="F654" s="294"/>
      <c r="G654" s="295"/>
      <c r="J654" s="296"/>
      <c r="K654" s="295"/>
      <c r="M654" s="296"/>
      <c r="N654" s="295"/>
      <c r="P654" s="296"/>
      <c r="T654" s="292"/>
    </row>
    <row r="655" ht="12.75" customHeight="1">
      <c r="D655" s="293"/>
      <c r="E655" s="107"/>
      <c r="F655" s="294"/>
      <c r="G655" s="295"/>
      <c r="J655" s="296"/>
      <c r="K655" s="295"/>
      <c r="M655" s="296"/>
      <c r="N655" s="295"/>
      <c r="P655" s="296"/>
      <c r="T655" s="292"/>
    </row>
    <row r="656" ht="12.75" customHeight="1">
      <c r="D656" s="293"/>
      <c r="E656" s="107"/>
      <c r="F656" s="294"/>
      <c r="G656" s="295"/>
      <c r="J656" s="296"/>
      <c r="K656" s="295"/>
      <c r="M656" s="296"/>
      <c r="N656" s="295"/>
      <c r="P656" s="296"/>
      <c r="T656" s="292"/>
    </row>
    <row r="657" ht="12.75" customHeight="1">
      <c r="D657" s="293"/>
      <c r="E657" s="107"/>
      <c r="F657" s="294"/>
      <c r="G657" s="295"/>
      <c r="J657" s="296"/>
      <c r="K657" s="295"/>
      <c r="M657" s="296"/>
      <c r="N657" s="295"/>
      <c r="P657" s="296"/>
      <c r="T657" s="292"/>
    </row>
    <row r="658" ht="12.75" customHeight="1">
      <c r="D658" s="293"/>
      <c r="E658" s="107"/>
      <c r="F658" s="294"/>
      <c r="G658" s="295"/>
      <c r="J658" s="296"/>
      <c r="K658" s="295"/>
      <c r="M658" s="296"/>
      <c r="N658" s="295"/>
      <c r="P658" s="296"/>
      <c r="T658" s="292"/>
    </row>
    <row r="659" ht="12.75" customHeight="1">
      <c r="D659" s="293"/>
      <c r="E659" s="107"/>
      <c r="F659" s="294"/>
      <c r="G659" s="295"/>
      <c r="J659" s="296"/>
      <c r="K659" s="295"/>
      <c r="M659" s="296"/>
      <c r="N659" s="295"/>
      <c r="P659" s="296"/>
      <c r="T659" s="292"/>
    </row>
    <row r="660" ht="12.75" customHeight="1">
      <c r="D660" s="293"/>
      <c r="E660" s="107"/>
      <c r="F660" s="294"/>
      <c r="G660" s="295"/>
      <c r="J660" s="296"/>
      <c r="K660" s="295"/>
      <c r="M660" s="296"/>
      <c r="N660" s="295"/>
      <c r="P660" s="296"/>
      <c r="T660" s="292"/>
    </row>
    <row r="661" ht="12.75" customHeight="1">
      <c r="D661" s="293"/>
      <c r="E661" s="107"/>
      <c r="F661" s="294"/>
      <c r="G661" s="295"/>
      <c r="J661" s="296"/>
      <c r="K661" s="295"/>
      <c r="M661" s="296"/>
      <c r="N661" s="295"/>
      <c r="P661" s="296"/>
      <c r="T661" s="292"/>
    </row>
    <row r="662" ht="12.75" customHeight="1">
      <c r="D662" s="293"/>
      <c r="E662" s="107"/>
      <c r="F662" s="294"/>
      <c r="G662" s="295"/>
      <c r="J662" s="296"/>
      <c r="K662" s="295"/>
      <c r="M662" s="296"/>
      <c r="N662" s="295"/>
      <c r="P662" s="296"/>
      <c r="T662" s="292"/>
    </row>
    <row r="663" ht="12.75" customHeight="1">
      <c r="D663" s="293"/>
      <c r="E663" s="107"/>
      <c r="F663" s="294"/>
      <c r="G663" s="295"/>
      <c r="J663" s="296"/>
      <c r="K663" s="295"/>
      <c r="M663" s="296"/>
      <c r="N663" s="295"/>
      <c r="P663" s="296"/>
      <c r="T663" s="292"/>
    </row>
    <row r="664" ht="12.75" customHeight="1">
      <c r="D664" s="293"/>
      <c r="E664" s="107"/>
      <c r="F664" s="294"/>
      <c r="G664" s="295"/>
      <c r="J664" s="296"/>
      <c r="K664" s="295"/>
      <c r="M664" s="296"/>
      <c r="N664" s="295"/>
      <c r="P664" s="296"/>
      <c r="T664" s="292"/>
    </row>
    <row r="665" ht="12.75" customHeight="1">
      <c r="D665" s="293"/>
      <c r="E665" s="107"/>
      <c r="F665" s="294"/>
      <c r="G665" s="295"/>
      <c r="J665" s="296"/>
      <c r="K665" s="295"/>
      <c r="M665" s="296"/>
      <c r="N665" s="295"/>
      <c r="P665" s="296"/>
      <c r="T665" s="292"/>
    </row>
    <row r="666" ht="12.75" customHeight="1">
      <c r="D666" s="293"/>
      <c r="E666" s="107"/>
      <c r="F666" s="294"/>
      <c r="G666" s="295"/>
      <c r="J666" s="296"/>
      <c r="K666" s="295"/>
      <c r="M666" s="296"/>
      <c r="N666" s="295"/>
      <c r="P666" s="296"/>
      <c r="T666" s="292"/>
    </row>
    <row r="667" ht="12.75" customHeight="1">
      <c r="D667" s="293"/>
      <c r="E667" s="107"/>
      <c r="F667" s="294"/>
      <c r="G667" s="295"/>
      <c r="J667" s="296"/>
      <c r="K667" s="295"/>
      <c r="M667" s="296"/>
      <c r="N667" s="295"/>
      <c r="P667" s="296"/>
      <c r="T667" s="292"/>
    </row>
    <row r="668" ht="12.75" customHeight="1">
      <c r="D668" s="293"/>
      <c r="E668" s="107"/>
      <c r="F668" s="294"/>
      <c r="G668" s="295"/>
      <c r="J668" s="296"/>
      <c r="K668" s="295"/>
      <c r="M668" s="296"/>
      <c r="N668" s="295"/>
      <c r="P668" s="296"/>
      <c r="T668" s="292"/>
    </row>
    <row r="669" ht="12.75" customHeight="1">
      <c r="D669" s="293"/>
      <c r="E669" s="107"/>
      <c r="F669" s="294"/>
      <c r="G669" s="295"/>
      <c r="J669" s="296"/>
      <c r="K669" s="295"/>
      <c r="M669" s="296"/>
      <c r="N669" s="295"/>
      <c r="P669" s="296"/>
      <c r="T669" s="292"/>
    </row>
    <row r="670" ht="12.75" customHeight="1">
      <c r="D670" s="293"/>
      <c r="E670" s="107"/>
      <c r="F670" s="294"/>
      <c r="G670" s="295"/>
      <c r="J670" s="296"/>
      <c r="K670" s="295"/>
      <c r="M670" s="296"/>
      <c r="N670" s="295"/>
      <c r="P670" s="296"/>
      <c r="T670" s="292"/>
    </row>
    <row r="671" ht="12.75" customHeight="1">
      <c r="D671" s="293"/>
      <c r="E671" s="107"/>
      <c r="F671" s="294"/>
      <c r="G671" s="295"/>
      <c r="J671" s="296"/>
      <c r="K671" s="295"/>
      <c r="M671" s="296"/>
      <c r="N671" s="295"/>
      <c r="P671" s="296"/>
      <c r="T671" s="292"/>
    </row>
    <row r="672" ht="12.75" customHeight="1">
      <c r="D672" s="293"/>
      <c r="E672" s="107"/>
      <c r="F672" s="294"/>
      <c r="G672" s="295"/>
      <c r="J672" s="296"/>
      <c r="K672" s="295"/>
      <c r="M672" s="296"/>
      <c r="N672" s="295"/>
      <c r="P672" s="296"/>
      <c r="T672" s="292"/>
    </row>
    <row r="673" ht="12.75" customHeight="1">
      <c r="D673" s="293"/>
      <c r="E673" s="107"/>
      <c r="F673" s="294"/>
      <c r="G673" s="295"/>
      <c r="J673" s="296"/>
      <c r="K673" s="295"/>
      <c r="M673" s="296"/>
      <c r="N673" s="295"/>
      <c r="P673" s="296"/>
      <c r="T673" s="292"/>
    </row>
    <row r="674" ht="12.75" customHeight="1">
      <c r="D674" s="293"/>
      <c r="E674" s="107"/>
      <c r="F674" s="294"/>
      <c r="G674" s="295"/>
      <c r="J674" s="296"/>
      <c r="K674" s="295"/>
      <c r="M674" s="296"/>
      <c r="N674" s="295"/>
      <c r="P674" s="296"/>
      <c r="T674" s="292"/>
    </row>
    <row r="675" ht="12.75" customHeight="1">
      <c r="D675" s="293"/>
      <c r="E675" s="107"/>
      <c r="F675" s="294"/>
      <c r="G675" s="295"/>
      <c r="J675" s="296"/>
      <c r="K675" s="295"/>
      <c r="M675" s="296"/>
      <c r="N675" s="295"/>
      <c r="P675" s="296"/>
      <c r="T675" s="292"/>
    </row>
    <row r="676" ht="12.75" customHeight="1">
      <c r="D676" s="293"/>
      <c r="E676" s="107"/>
      <c r="F676" s="294"/>
      <c r="G676" s="295"/>
      <c r="J676" s="296"/>
      <c r="K676" s="295"/>
      <c r="M676" s="296"/>
      <c r="N676" s="295"/>
      <c r="P676" s="296"/>
      <c r="T676" s="292"/>
    </row>
    <row r="677" ht="12.75" customHeight="1">
      <c r="D677" s="293"/>
      <c r="E677" s="107"/>
      <c r="F677" s="294"/>
      <c r="G677" s="295"/>
      <c r="J677" s="296"/>
      <c r="K677" s="295"/>
      <c r="M677" s="296"/>
      <c r="N677" s="295"/>
      <c r="P677" s="296"/>
      <c r="T677" s="292"/>
    </row>
    <row r="678" ht="12.75" customHeight="1">
      <c r="D678" s="293"/>
      <c r="E678" s="107"/>
      <c r="F678" s="294"/>
      <c r="G678" s="295"/>
      <c r="J678" s="296"/>
      <c r="K678" s="295"/>
      <c r="M678" s="296"/>
      <c r="N678" s="295"/>
      <c r="P678" s="296"/>
      <c r="T678" s="292"/>
    </row>
    <row r="679" ht="12.75" customHeight="1">
      <c r="D679" s="293"/>
      <c r="E679" s="107"/>
      <c r="F679" s="294"/>
      <c r="G679" s="295"/>
      <c r="J679" s="296"/>
      <c r="K679" s="295"/>
      <c r="M679" s="296"/>
      <c r="N679" s="295"/>
      <c r="P679" s="296"/>
      <c r="T679" s="292"/>
    </row>
    <row r="680" ht="12.75" customHeight="1">
      <c r="D680" s="293"/>
      <c r="E680" s="107"/>
      <c r="F680" s="294"/>
      <c r="G680" s="295"/>
      <c r="J680" s="296"/>
      <c r="K680" s="295"/>
      <c r="M680" s="296"/>
      <c r="N680" s="295"/>
      <c r="P680" s="296"/>
      <c r="T680" s="292"/>
    </row>
    <row r="681" ht="12.75" customHeight="1">
      <c r="D681" s="293"/>
      <c r="E681" s="107"/>
      <c r="F681" s="294"/>
      <c r="G681" s="295"/>
      <c r="J681" s="296"/>
      <c r="K681" s="295"/>
      <c r="M681" s="296"/>
      <c r="N681" s="295"/>
      <c r="P681" s="296"/>
      <c r="T681" s="292"/>
    </row>
    <row r="682" ht="12.75" customHeight="1">
      <c r="D682" s="293"/>
      <c r="E682" s="107"/>
      <c r="F682" s="294"/>
      <c r="G682" s="295"/>
      <c r="J682" s="296"/>
      <c r="K682" s="295"/>
      <c r="M682" s="296"/>
      <c r="N682" s="295"/>
      <c r="P682" s="296"/>
      <c r="T682" s="292"/>
    </row>
    <row r="683" ht="12.75" customHeight="1">
      <c r="D683" s="293"/>
      <c r="E683" s="107"/>
      <c r="F683" s="294"/>
      <c r="G683" s="295"/>
      <c r="J683" s="296"/>
      <c r="K683" s="295"/>
      <c r="M683" s="296"/>
      <c r="N683" s="295"/>
      <c r="P683" s="296"/>
      <c r="T683" s="292"/>
    </row>
    <row r="684" ht="12.75" customHeight="1">
      <c r="D684" s="293"/>
      <c r="E684" s="107"/>
      <c r="F684" s="294"/>
      <c r="G684" s="295"/>
      <c r="J684" s="296"/>
      <c r="K684" s="295"/>
      <c r="M684" s="296"/>
      <c r="N684" s="295"/>
      <c r="P684" s="296"/>
      <c r="T684" s="292"/>
    </row>
    <row r="685" ht="12.75" customHeight="1">
      <c r="D685" s="293"/>
      <c r="E685" s="107"/>
      <c r="F685" s="294"/>
      <c r="G685" s="295"/>
      <c r="J685" s="296"/>
      <c r="K685" s="295"/>
      <c r="M685" s="296"/>
      <c r="N685" s="295"/>
      <c r="P685" s="296"/>
      <c r="T685" s="292"/>
    </row>
    <row r="686" ht="12.75" customHeight="1">
      <c r="D686" s="293"/>
      <c r="E686" s="107"/>
      <c r="F686" s="294"/>
      <c r="G686" s="295"/>
      <c r="J686" s="296"/>
      <c r="K686" s="295"/>
      <c r="M686" s="296"/>
      <c r="N686" s="295"/>
      <c r="P686" s="296"/>
      <c r="T686" s="292"/>
    </row>
    <row r="687" ht="12.75" customHeight="1">
      <c r="D687" s="293"/>
      <c r="E687" s="107"/>
      <c r="F687" s="294"/>
      <c r="G687" s="295"/>
      <c r="J687" s="296"/>
      <c r="K687" s="295"/>
      <c r="M687" s="296"/>
      <c r="N687" s="295"/>
      <c r="P687" s="296"/>
      <c r="T687" s="292"/>
    </row>
    <row r="688" ht="12.75" customHeight="1">
      <c r="D688" s="293"/>
      <c r="E688" s="107"/>
      <c r="F688" s="294"/>
      <c r="G688" s="295"/>
      <c r="J688" s="296"/>
      <c r="K688" s="295"/>
      <c r="M688" s="296"/>
      <c r="N688" s="295"/>
      <c r="P688" s="296"/>
      <c r="T688" s="292"/>
    </row>
    <row r="689" ht="12.75" customHeight="1">
      <c r="D689" s="293"/>
      <c r="E689" s="107"/>
      <c r="F689" s="294"/>
      <c r="G689" s="295"/>
      <c r="J689" s="296"/>
      <c r="K689" s="295"/>
      <c r="M689" s="296"/>
      <c r="N689" s="295"/>
      <c r="P689" s="296"/>
      <c r="T689" s="292"/>
    </row>
    <row r="690" ht="12.75" customHeight="1">
      <c r="D690" s="293"/>
      <c r="E690" s="107"/>
      <c r="F690" s="294"/>
      <c r="G690" s="295"/>
      <c r="J690" s="296"/>
      <c r="K690" s="295"/>
      <c r="M690" s="296"/>
      <c r="N690" s="295"/>
      <c r="P690" s="296"/>
      <c r="T690" s="292"/>
    </row>
    <row r="691" ht="12.75" customHeight="1">
      <c r="D691" s="293"/>
      <c r="E691" s="107"/>
      <c r="F691" s="294"/>
      <c r="G691" s="295"/>
      <c r="J691" s="296"/>
      <c r="K691" s="295"/>
      <c r="M691" s="296"/>
      <c r="N691" s="295"/>
      <c r="P691" s="296"/>
      <c r="T691" s="292"/>
    </row>
    <row r="692" ht="12.75" customHeight="1">
      <c r="D692" s="293"/>
      <c r="E692" s="107"/>
      <c r="F692" s="294"/>
      <c r="G692" s="295"/>
      <c r="J692" s="296"/>
      <c r="K692" s="295"/>
      <c r="M692" s="296"/>
      <c r="N692" s="295"/>
      <c r="P692" s="296"/>
      <c r="T692" s="292"/>
    </row>
    <row r="693" ht="12.75" customHeight="1">
      <c r="D693" s="293"/>
      <c r="E693" s="107"/>
      <c r="F693" s="294"/>
      <c r="G693" s="295"/>
      <c r="J693" s="296"/>
      <c r="K693" s="295"/>
      <c r="M693" s="296"/>
      <c r="N693" s="295"/>
      <c r="P693" s="296"/>
      <c r="T693" s="292"/>
    </row>
    <row r="694" ht="12.75" customHeight="1">
      <c r="D694" s="293"/>
      <c r="E694" s="107"/>
      <c r="F694" s="294"/>
      <c r="G694" s="295"/>
      <c r="J694" s="296"/>
      <c r="K694" s="295"/>
      <c r="M694" s="296"/>
      <c r="N694" s="295"/>
      <c r="P694" s="296"/>
      <c r="T694" s="292"/>
    </row>
    <row r="695" ht="12.75" customHeight="1">
      <c r="D695" s="293"/>
      <c r="E695" s="107"/>
      <c r="F695" s="294"/>
      <c r="G695" s="295"/>
      <c r="J695" s="296"/>
      <c r="K695" s="295"/>
      <c r="M695" s="296"/>
      <c r="N695" s="295"/>
      <c r="P695" s="296"/>
      <c r="T695" s="292"/>
    </row>
    <row r="696" ht="12.75" customHeight="1">
      <c r="D696" s="293"/>
      <c r="E696" s="107"/>
      <c r="F696" s="294"/>
      <c r="G696" s="295"/>
      <c r="J696" s="296"/>
      <c r="K696" s="295"/>
      <c r="M696" s="296"/>
      <c r="N696" s="295"/>
      <c r="P696" s="296"/>
      <c r="T696" s="292"/>
    </row>
    <row r="697" ht="12.75" customHeight="1">
      <c r="D697" s="293"/>
      <c r="E697" s="107"/>
      <c r="F697" s="294"/>
      <c r="G697" s="295"/>
      <c r="J697" s="296"/>
      <c r="K697" s="295"/>
      <c r="M697" s="296"/>
      <c r="N697" s="295"/>
      <c r="P697" s="296"/>
      <c r="T697" s="292"/>
    </row>
    <row r="698" ht="12.75" customHeight="1">
      <c r="D698" s="293"/>
      <c r="E698" s="107"/>
      <c r="F698" s="294"/>
      <c r="G698" s="295"/>
      <c r="J698" s="296"/>
      <c r="K698" s="295"/>
      <c r="M698" s="296"/>
      <c r="N698" s="295"/>
      <c r="P698" s="296"/>
      <c r="T698" s="292"/>
    </row>
    <row r="699" ht="12.75" customHeight="1">
      <c r="D699" s="293"/>
      <c r="E699" s="107"/>
      <c r="F699" s="294"/>
      <c r="G699" s="295"/>
      <c r="J699" s="296"/>
      <c r="K699" s="295"/>
      <c r="M699" s="296"/>
      <c r="N699" s="295"/>
      <c r="P699" s="296"/>
      <c r="T699" s="292"/>
    </row>
    <row r="700" ht="12.75" customHeight="1">
      <c r="D700" s="293"/>
      <c r="E700" s="107"/>
      <c r="F700" s="294"/>
      <c r="G700" s="295"/>
      <c r="J700" s="296"/>
      <c r="K700" s="295"/>
      <c r="M700" s="296"/>
      <c r="N700" s="295"/>
      <c r="P700" s="296"/>
      <c r="T700" s="292"/>
    </row>
    <row r="701" ht="12.75" customHeight="1">
      <c r="D701" s="293"/>
      <c r="E701" s="107"/>
      <c r="F701" s="294"/>
      <c r="G701" s="295"/>
      <c r="J701" s="296"/>
      <c r="K701" s="295"/>
      <c r="M701" s="296"/>
      <c r="N701" s="295"/>
      <c r="P701" s="296"/>
      <c r="T701" s="292"/>
    </row>
    <row r="702" ht="12.75" customHeight="1">
      <c r="D702" s="293"/>
      <c r="E702" s="107"/>
      <c r="F702" s="294"/>
      <c r="G702" s="295"/>
      <c r="J702" s="296"/>
      <c r="K702" s="295"/>
      <c r="M702" s="296"/>
      <c r="N702" s="295"/>
      <c r="P702" s="296"/>
      <c r="T702" s="292"/>
    </row>
    <row r="703" ht="12.75" customHeight="1">
      <c r="D703" s="293"/>
      <c r="E703" s="107"/>
      <c r="F703" s="294"/>
      <c r="G703" s="295"/>
      <c r="J703" s="296"/>
      <c r="K703" s="295"/>
      <c r="M703" s="296"/>
      <c r="N703" s="295"/>
      <c r="P703" s="296"/>
      <c r="T703" s="292"/>
    </row>
    <row r="704" ht="12.75" customHeight="1">
      <c r="D704" s="293"/>
      <c r="E704" s="107"/>
      <c r="F704" s="294"/>
      <c r="G704" s="295"/>
      <c r="J704" s="296"/>
      <c r="K704" s="295"/>
      <c r="M704" s="296"/>
      <c r="N704" s="295"/>
      <c r="P704" s="296"/>
      <c r="T704" s="292"/>
    </row>
    <row r="705" ht="12.75" customHeight="1">
      <c r="D705" s="293"/>
      <c r="E705" s="107"/>
      <c r="F705" s="294"/>
      <c r="G705" s="295"/>
      <c r="J705" s="296"/>
      <c r="K705" s="295"/>
      <c r="M705" s="296"/>
      <c r="N705" s="295"/>
      <c r="P705" s="296"/>
      <c r="T705" s="292"/>
    </row>
    <row r="706" ht="12.75" customHeight="1">
      <c r="D706" s="293"/>
      <c r="E706" s="107"/>
      <c r="F706" s="294"/>
      <c r="G706" s="295"/>
      <c r="J706" s="296"/>
      <c r="K706" s="295"/>
      <c r="M706" s="296"/>
      <c r="N706" s="295"/>
      <c r="P706" s="296"/>
      <c r="T706" s="292"/>
    </row>
    <row r="707" ht="12.75" customHeight="1">
      <c r="D707" s="293"/>
      <c r="E707" s="107"/>
      <c r="F707" s="294"/>
      <c r="G707" s="295"/>
      <c r="J707" s="296"/>
      <c r="K707" s="295"/>
      <c r="M707" s="296"/>
      <c r="N707" s="295"/>
      <c r="P707" s="296"/>
      <c r="T707" s="292"/>
    </row>
    <row r="708" ht="12.75" customHeight="1">
      <c r="D708" s="293"/>
      <c r="E708" s="107"/>
      <c r="F708" s="294"/>
      <c r="G708" s="295"/>
      <c r="J708" s="296"/>
      <c r="K708" s="295"/>
      <c r="M708" s="296"/>
      <c r="N708" s="295"/>
      <c r="P708" s="296"/>
      <c r="T708" s="292"/>
    </row>
    <row r="709" ht="12.75" customHeight="1">
      <c r="D709" s="293"/>
      <c r="E709" s="107"/>
      <c r="F709" s="294"/>
      <c r="G709" s="295"/>
      <c r="J709" s="296"/>
      <c r="K709" s="295"/>
      <c r="M709" s="296"/>
      <c r="N709" s="295"/>
      <c r="P709" s="296"/>
      <c r="T709" s="292"/>
    </row>
    <row r="710" ht="12.75" customHeight="1">
      <c r="D710" s="293"/>
      <c r="E710" s="107"/>
      <c r="F710" s="294"/>
      <c r="G710" s="295"/>
      <c r="J710" s="296"/>
      <c r="K710" s="295"/>
      <c r="M710" s="296"/>
      <c r="N710" s="295"/>
      <c r="P710" s="296"/>
      <c r="T710" s="292"/>
    </row>
    <row r="711" ht="12.75" customHeight="1">
      <c r="D711" s="293"/>
      <c r="E711" s="107"/>
      <c r="F711" s="294"/>
      <c r="G711" s="295"/>
      <c r="J711" s="296"/>
      <c r="K711" s="295"/>
      <c r="M711" s="296"/>
      <c r="N711" s="295"/>
      <c r="P711" s="296"/>
      <c r="T711" s="292"/>
    </row>
    <row r="712" ht="12.75" customHeight="1">
      <c r="D712" s="293"/>
      <c r="E712" s="107"/>
      <c r="F712" s="294"/>
      <c r="G712" s="295"/>
      <c r="J712" s="296"/>
      <c r="K712" s="295"/>
      <c r="M712" s="296"/>
      <c r="N712" s="295"/>
      <c r="P712" s="296"/>
      <c r="T712" s="292"/>
    </row>
    <row r="713" ht="12.75" customHeight="1">
      <c r="D713" s="293"/>
      <c r="E713" s="107"/>
      <c r="F713" s="294"/>
      <c r="G713" s="295"/>
      <c r="J713" s="296"/>
      <c r="K713" s="295"/>
      <c r="M713" s="296"/>
      <c r="N713" s="295"/>
      <c r="P713" s="296"/>
      <c r="T713" s="292"/>
    </row>
    <row r="714" ht="12.75" customHeight="1">
      <c r="D714" s="293"/>
      <c r="E714" s="107"/>
      <c r="F714" s="294"/>
      <c r="G714" s="295"/>
      <c r="J714" s="296"/>
      <c r="K714" s="295"/>
      <c r="M714" s="296"/>
      <c r="N714" s="295"/>
      <c r="P714" s="296"/>
      <c r="T714" s="292"/>
    </row>
    <row r="715" ht="12.75" customHeight="1">
      <c r="D715" s="293"/>
      <c r="E715" s="107"/>
      <c r="F715" s="294"/>
      <c r="G715" s="295"/>
      <c r="J715" s="296"/>
      <c r="K715" s="295"/>
      <c r="M715" s="296"/>
      <c r="N715" s="295"/>
      <c r="P715" s="296"/>
      <c r="T715" s="292"/>
    </row>
    <row r="716" ht="12.75" customHeight="1">
      <c r="D716" s="293"/>
      <c r="E716" s="107"/>
      <c r="F716" s="294"/>
      <c r="G716" s="295"/>
      <c r="J716" s="296"/>
      <c r="K716" s="295"/>
      <c r="M716" s="296"/>
      <c r="N716" s="295"/>
      <c r="P716" s="296"/>
      <c r="T716" s="292"/>
    </row>
    <row r="717" ht="12.75" customHeight="1">
      <c r="D717" s="293"/>
      <c r="E717" s="107"/>
      <c r="F717" s="294"/>
      <c r="G717" s="295"/>
      <c r="J717" s="296"/>
      <c r="K717" s="295"/>
      <c r="M717" s="296"/>
      <c r="N717" s="295"/>
      <c r="P717" s="296"/>
      <c r="T717" s="292"/>
    </row>
    <row r="718" ht="12.75" customHeight="1">
      <c r="D718" s="293"/>
      <c r="E718" s="107"/>
      <c r="F718" s="294"/>
      <c r="G718" s="295"/>
      <c r="J718" s="296"/>
      <c r="K718" s="295"/>
      <c r="M718" s="296"/>
      <c r="N718" s="295"/>
      <c r="P718" s="296"/>
      <c r="T718" s="292"/>
    </row>
    <row r="719" ht="12.75" customHeight="1">
      <c r="D719" s="293"/>
      <c r="E719" s="107"/>
      <c r="F719" s="294"/>
      <c r="G719" s="295"/>
      <c r="J719" s="296"/>
      <c r="K719" s="295"/>
      <c r="M719" s="296"/>
      <c r="N719" s="295"/>
      <c r="P719" s="296"/>
      <c r="T719" s="292"/>
    </row>
    <row r="720" ht="12.75" customHeight="1">
      <c r="D720" s="293"/>
      <c r="E720" s="107"/>
      <c r="F720" s="294"/>
      <c r="G720" s="295"/>
      <c r="J720" s="296"/>
      <c r="K720" s="295"/>
      <c r="M720" s="296"/>
      <c r="N720" s="295"/>
      <c r="P720" s="296"/>
      <c r="T720" s="292"/>
    </row>
    <row r="721" ht="12.75" customHeight="1">
      <c r="D721" s="293"/>
      <c r="E721" s="107"/>
      <c r="F721" s="294"/>
      <c r="G721" s="295"/>
      <c r="J721" s="296"/>
      <c r="K721" s="295"/>
      <c r="M721" s="296"/>
      <c r="N721" s="295"/>
      <c r="P721" s="296"/>
      <c r="T721" s="292"/>
    </row>
    <row r="722" ht="12.75" customHeight="1">
      <c r="D722" s="293"/>
      <c r="E722" s="107"/>
      <c r="F722" s="294"/>
      <c r="G722" s="295"/>
      <c r="J722" s="296"/>
      <c r="K722" s="295"/>
      <c r="M722" s="296"/>
      <c r="N722" s="295"/>
      <c r="P722" s="296"/>
      <c r="T722" s="292"/>
    </row>
    <row r="723" ht="12.75" customHeight="1">
      <c r="D723" s="293"/>
      <c r="E723" s="107"/>
      <c r="F723" s="294"/>
      <c r="G723" s="295"/>
      <c r="J723" s="296"/>
      <c r="K723" s="295"/>
      <c r="M723" s="296"/>
      <c r="N723" s="295"/>
      <c r="P723" s="296"/>
      <c r="T723" s="292"/>
    </row>
    <row r="724" ht="12.75" customHeight="1">
      <c r="D724" s="293"/>
      <c r="E724" s="107"/>
      <c r="F724" s="294"/>
      <c r="G724" s="295"/>
      <c r="J724" s="296"/>
      <c r="K724" s="295"/>
      <c r="M724" s="296"/>
      <c r="N724" s="295"/>
      <c r="P724" s="296"/>
      <c r="T724" s="292"/>
    </row>
    <row r="725" ht="12.75" customHeight="1">
      <c r="D725" s="293"/>
      <c r="E725" s="107"/>
      <c r="F725" s="294"/>
      <c r="G725" s="295"/>
      <c r="J725" s="296"/>
      <c r="K725" s="295"/>
      <c r="M725" s="296"/>
      <c r="N725" s="295"/>
      <c r="P725" s="296"/>
      <c r="T725" s="292"/>
    </row>
    <row r="726" ht="12.75" customHeight="1">
      <c r="D726" s="293"/>
      <c r="E726" s="107"/>
      <c r="F726" s="294"/>
      <c r="G726" s="295"/>
      <c r="J726" s="296"/>
      <c r="K726" s="295"/>
      <c r="M726" s="296"/>
      <c r="N726" s="295"/>
      <c r="P726" s="296"/>
      <c r="T726" s="292"/>
    </row>
    <row r="727" ht="12.75" customHeight="1">
      <c r="D727" s="293"/>
      <c r="E727" s="107"/>
      <c r="F727" s="294"/>
      <c r="G727" s="295"/>
      <c r="J727" s="296"/>
      <c r="K727" s="295"/>
      <c r="M727" s="296"/>
      <c r="N727" s="295"/>
      <c r="P727" s="296"/>
      <c r="T727" s="292"/>
    </row>
    <row r="728" ht="12.75" customHeight="1">
      <c r="D728" s="293"/>
      <c r="E728" s="107"/>
      <c r="F728" s="294"/>
      <c r="G728" s="295"/>
      <c r="J728" s="296"/>
      <c r="K728" s="295"/>
      <c r="M728" s="296"/>
      <c r="N728" s="295"/>
      <c r="P728" s="296"/>
      <c r="T728" s="292"/>
    </row>
    <row r="729" ht="12.75" customHeight="1">
      <c r="D729" s="293"/>
      <c r="E729" s="107"/>
      <c r="F729" s="294"/>
      <c r="G729" s="295"/>
      <c r="J729" s="296"/>
      <c r="K729" s="295"/>
      <c r="M729" s="296"/>
      <c r="N729" s="295"/>
      <c r="P729" s="296"/>
      <c r="T729" s="292"/>
    </row>
    <row r="730" ht="12.75" customHeight="1">
      <c r="D730" s="293"/>
      <c r="E730" s="107"/>
      <c r="F730" s="294"/>
      <c r="G730" s="295"/>
      <c r="J730" s="296"/>
      <c r="K730" s="295"/>
      <c r="M730" s="296"/>
      <c r="N730" s="295"/>
      <c r="P730" s="296"/>
      <c r="T730" s="292"/>
    </row>
    <row r="731" ht="12.75" customHeight="1">
      <c r="D731" s="293"/>
      <c r="E731" s="107"/>
      <c r="F731" s="294"/>
      <c r="G731" s="295"/>
      <c r="J731" s="296"/>
      <c r="K731" s="295"/>
      <c r="M731" s="296"/>
      <c r="N731" s="295"/>
      <c r="P731" s="296"/>
      <c r="T731" s="292"/>
    </row>
    <row r="732" ht="12.75" customHeight="1">
      <c r="D732" s="293"/>
      <c r="E732" s="107"/>
      <c r="F732" s="294"/>
      <c r="G732" s="295"/>
      <c r="J732" s="296"/>
      <c r="K732" s="295"/>
      <c r="M732" s="296"/>
      <c r="N732" s="295"/>
      <c r="P732" s="296"/>
      <c r="T732" s="292"/>
    </row>
    <row r="733" ht="12.75" customHeight="1">
      <c r="D733" s="293"/>
      <c r="E733" s="107"/>
      <c r="F733" s="294"/>
      <c r="G733" s="295"/>
      <c r="J733" s="296"/>
      <c r="K733" s="295"/>
      <c r="M733" s="296"/>
      <c r="N733" s="295"/>
      <c r="P733" s="296"/>
      <c r="T733" s="292"/>
    </row>
    <row r="734" ht="12.75" customHeight="1">
      <c r="D734" s="293"/>
      <c r="E734" s="107"/>
      <c r="F734" s="294"/>
      <c r="G734" s="295"/>
      <c r="J734" s="296"/>
      <c r="K734" s="295"/>
      <c r="M734" s="296"/>
      <c r="N734" s="295"/>
      <c r="P734" s="296"/>
      <c r="T734" s="292"/>
    </row>
    <row r="735" ht="12.75" customHeight="1">
      <c r="D735" s="293"/>
      <c r="E735" s="107"/>
      <c r="F735" s="294"/>
      <c r="G735" s="295"/>
      <c r="J735" s="296"/>
      <c r="K735" s="295"/>
      <c r="M735" s="296"/>
      <c r="N735" s="295"/>
      <c r="P735" s="296"/>
      <c r="T735" s="292"/>
    </row>
    <row r="736" ht="12.75" customHeight="1">
      <c r="D736" s="293"/>
      <c r="E736" s="107"/>
      <c r="F736" s="294"/>
      <c r="G736" s="295"/>
      <c r="J736" s="296"/>
      <c r="K736" s="295"/>
      <c r="M736" s="296"/>
      <c r="N736" s="295"/>
      <c r="P736" s="296"/>
      <c r="T736" s="292"/>
    </row>
    <row r="737" ht="12.75" customHeight="1">
      <c r="D737" s="293"/>
      <c r="E737" s="107"/>
      <c r="F737" s="294"/>
      <c r="G737" s="295"/>
      <c r="J737" s="296"/>
      <c r="K737" s="295"/>
      <c r="M737" s="296"/>
      <c r="N737" s="295"/>
      <c r="P737" s="296"/>
      <c r="T737" s="292"/>
    </row>
    <row r="738" ht="12.75" customHeight="1">
      <c r="D738" s="293"/>
      <c r="E738" s="107"/>
      <c r="F738" s="294"/>
      <c r="G738" s="295"/>
      <c r="J738" s="296"/>
      <c r="K738" s="295"/>
      <c r="M738" s="296"/>
      <c r="N738" s="295"/>
      <c r="P738" s="296"/>
      <c r="T738" s="292"/>
    </row>
    <row r="739" ht="12.75" customHeight="1">
      <c r="D739" s="293"/>
      <c r="E739" s="107"/>
      <c r="F739" s="294"/>
      <c r="G739" s="295"/>
      <c r="J739" s="296"/>
      <c r="K739" s="295"/>
      <c r="M739" s="296"/>
      <c r="N739" s="295"/>
      <c r="P739" s="296"/>
      <c r="T739" s="292"/>
    </row>
    <row r="740" ht="12.75" customHeight="1">
      <c r="D740" s="293"/>
      <c r="E740" s="107"/>
      <c r="F740" s="294"/>
      <c r="G740" s="295"/>
      <c r="J740" s="296"/>
      <c r="K740" s="295"/>
      <c r="M740" s="296"/>
      <c r="N740" s="295"/>
      <c r="P740" s="296"/>
      <c r="T740" s="292"/>
    </row>
    <row r="741" ht="12.75" customHeight="1">
      <c r="D741" s="293"/>
      <c r="E741" s="107"/>
      <c r="F741" s="294"/>
      <c r="G741" s="295"/>
      <c r="J741" s="296"/>
      <c r="K741" s="295"/>
      <c r="M741" s="296"/>
      <c r="N741" s="295"/>
      <c r="P741" s="296"/>
      <c r="T741" s="292"/>
    </row>
    <row r="742" ht="12.75" customHeight="1">
      <c r="D742" s="293"/>
      <c r="E742" s="107"/>
      <c r="F742" s="294"/>
      <c r="G742" s="295"/>
      <c r="J742" s="296"/>
      <c r="K742" s="295"/>
      <c r="M742" s="296"/>
      <c r="N742" s="295"/>
      <c r="P742" s="296"/>
      <c r="T742" s="292"/>
    </row>
    <row r="743" ht="12.75" customHeight="1">
      <c r="D743" s="293"/>
      <c r="E743" s="107"/>
      <c r="F743" s="294"/>
      <c r="G743" s="295"/>
      <c r="J743" s="296"/>
      <c r="K743" s="295"/>
      <c r="M743" s="296"/>
      <c r="N743" s="295"/>
      <c r="P743" s="296"/>
      <c r="T743" s="292"/>
    </row>
    <row r="744" ht="12.75" customHeight="1">
      <c r="D744" s="293"/>
      <c r="E744" s="107"/>
      <c r="F744" s="294"/>
      <c r="G744" s="295"/>
      <c r="J744" s="296"/>
      <c r="K744" s="295"/>
      <c r="M744" s="296"/>
      <c r="N744" s="295"/>
      <c r="P744" s="296"/>
      <c r="T744" s="292"/>
    </row>
    <row r="745" ht="12.75" customHeight="1">
      <c r="D745" s="293"/>
      <c r="E745" s="107"/>
      <c r="F745" s="294"/>
      <c r="G745" s="295"/>
      <c r="J745" s="296"/>
      <c r="K745" s="295"/>
      <c r="M745" s="296"/>
      <c r="N745" s="295"/>
      <c r="P745" s="296"/>
      <c r="T745" s="292"/>
    </row>
    <row r="746" ht="12.75" customHeight="1">
      <c r="D746" s="293"/>
      <c r="E746" s="107"/>
      <c r="F746" s="294"/>
      <c r="G746" s="295"/>
      <c r="J746" s="296"/>
      <c r="K746" s="295"/>
      <c r="M746" s="296"/>
      <c r="N746" s="295"/>
      <c r="P746" s="296"/>
      <c r="T746" s="292"/>
    </row>
    <row r="747" ht="12.75" customHeight="1">
      <c r="D747" s="293"/>
      <c r="E747" s="107"/>
      <c r="F747" s="294"/>
      <c r="G747" s="295"/>
      <c r="J747" s="296"/>
      <c r="K747" s="295"/>
      <c r="M747" s="296"/>
      <c r="N747" s="295"/>
      <c r="P747" s="296"/>
      <c r="T747" s="292"/>
    </row>
    <row r="748" ht="12.75" customHeight="1">
      <c r="D748" s="293"/>
      <c r="E748" s="107"/>
      <c r="F748" s="294"/>
      <c r="G748" s="295"/>
      <c r="J748" s="296"/>
      <c r="K748" s="295"/>
      <c r="M748" s="296"/>
      <c r="N748" s="295"/>
      <c r="P748" s="296"/>
      <c r="T748" s="292"/>
    </row>
    <row r="749" ht="12.75" customHeight="1">
      <c r="D749" s="293"/>
      <c r="E749" s="107"/>
      <c r="F749" s="294"/>
      <c r="G749" s="295"/>
      <c r="J749" s="296"/>
      <c r="K749" s="295"/>
      <c r="M749" s="296"/>
      <c r="N749" s="295"/>
      <c r="P749" s="296"/>
      <c r="T749" s="292"/>
    </row>
    <row r="750" ht="12.75" customHeight="1">
      <c r="D750" s="293"/>
      <c r="E750" s="107"/>
      <c r="F750" s="294"/>
      <c r="G750" s="295"/>
      <c r="J750" s="296"/>
      <c r="K750" s="295"/>
      <c r="M750" s="296"/>
      <c r="N750" s="295"/>
      <c r="P750" s="296"/>
      <c r="T750" s="292"/>
    </row>
    <row r="751" ht="12.75" customHeight="1">
      <c r="D751" s="293"/>
      <c r="E751" s="107"/>
      <c r="F751" s="294"/>
      <c r="G751" s="295"/>
      <c r="J751" s="296"/>
      <c r="K751" s="295"/>
      <c r="M751" s="296"/>
      <c r="N751" s="295"/>
      <c r="P751" s="296"/>
      <c r="T751" s="292"/>
    </row>
    <row r="752" ht="12.75" customHeight="1">
      <c r="D752" s="293"/>
      <c r="E752" s="107"/>
      <c r="F752" s="294"/>
      <c r="G752" s="295"/>
      <c r="J752" s="296"/>
      <c r="K752" s="295"/>
      <c r="M752" s="296"/>
      <c r="N752" s="295"/>
      <c r="P752" s="296"/>
      <c r="T752" s="292"/>
    </row>
    <row r="753" ht="12.75" customHeight="1">
      <c r="D753" s="293"/>
      <c r="E753" s="107"/>
      <c r="F753" s="294"/>
      <c r="G753" s="295"/>
      <c r="J753" s="296"/>
      <c r="K753" s="295"/>
      <c r="M753" s="296"/>
      <c r="N753" s="295"/>
      <c r="P753" s="296"/>
      <c r="T753" s="292"/>
    </row>
    <row r="754" ht="12.75" customHeight="1">
      <c r="D754" s="293"/>
      <c r="E754" s="107"/>
      <c r="F754" s="294"/>
      <c r="G754" s="295"/>
      <c r="J754" s="296"/>
      <c r="K754" s="295"/>
      <c r="M754" s="296"/>
      <c r="N754" s="295"/>
      <c r="P754" s="296"/>
      <c r="T754" s="292"/>
    </row>
    <row r="755" ht="12.75" customHeight="1">
      <c r="D755" s="293"/>
      <c r="E755" s="107"/>
      <c r="F755" s="294"/>
      <c r="G755" s="295"/>
      <c r="J755" s="296"/>
      <c r="K755" s="295"/>
      <c r="M755" s="296"/>
      <c r="N755" s="295"/>
      <c r="P755" s="296"/>
      <c r="T755" s="292"/>
    </row>
    <row r="756" ht="12.75" customHeight="1">
      <c r="D756" s="293"/>
      <c r="E756" s="107"/>
      <c r="F756" s="294"/>
      <c r="G756" s="295"/>
      <c r="J756" s="296"/>
      <c r="K756" s="295"/>
      <c r="M756" s="296"/>
      <c r="N756" s="295"/>
      <c r="P756" s="296"/>
      <c r="T756" s="292"/>
    </row>
    <row r="757" ht="12.75" customHeight="1">
      <c r="D757" s="293"/>
      <c r="E757" s="107"/>
      <c r="F757" s="294"/>
      <c r="G757" s="295"/>
      <c r="J757" s="296"/>
      <c r="K757" s="295"/>
      <c r="M757" s="296"/>
      <c r="N757" s="295"/>
      <c r="P757" s="296"/>
      <c r="T757" s="292"/>
    </row>
    <row r="758" ht="12.75" customHeight="1">
      <c r="D758" s="293"/>
      <c r="E758" s="107"/>
      <c r="F758" s="294"/>
      <c r="G758" s="295"/>
      <c r="J758" s="296"/>
      <c r="K758" s="295"/>
      <c r="M758" s="296"/>
      <c r="N758" s="295"/>
      <c r="P758" s="296"/>
      <c r="T758" s="292"/>
    </row>
    <row r="759" ht="12.75" customHeight="1">
      <c r="D759" s="293"/>
      <c r="E759" s="107"/>
      <c r="F759" s="294"/>
      <c r="G759" s="295"/>
      <c r="J759" s="296"/>
      <c r="K759" s="295"/>
      <c r="M759" s="296"/>
      <c r="N759" s="295"/>
      <c r="P759" s="296"/>
      <c r="T759" s="292"/>
    </row>
    <row r="760" ht="12.75" customHeight="1">
      <c r="D760" s="293"/>
      <c r="E760" s="107"/>
      <c r="F760" s="294"/>
      <c r="G760" s="295"/>
      <c r="J760" s="296"/>
      <c r="K760" s="295"/>
      <c r="M760" s="296"/>
      <c r="N760" s="295"/>
      <c r="P760" s="296"/>
      <c r="T760" s="292"/>
    </row>
    <row r="761" ht="12.75" customHeight="1">
      <c r="D761" s="293"/>
      <c r="E761" s="107"/>
      <c r="F761" s="294"/>
      <c r="G761" s="295"/>
      <c r="J761" s="296"/>
      <c r="K761" s="295"/>
      <c r="M761" s="296"/>
      <c r="N761" s="295"/>
      <c r="P761" s="296"/>
      <c r="T761" s="292"/>
    </row>
    <row r="762" ht="12.75" customHeight="1">
      <c r="D762" s="293"/>
      <c r="E762" s="107"/>
      <c r="F762" s="294"/>
      <c r="G762" s="295"/>
      <c r="J762" s="296"/>
      <c r="K762" s="295"/>
      <c r="M762" s="296"/>
      <c r="N762" s="295"/>
      <c r="P762" s="296"/>
      <c r="T762" s="292"/>
    </row>
    <row r="763" ht="12.75" customHeight="1">
      <c r="D763" s="293"/>
      <c r="E763" s="107"/>
      <c r="F763" s="294"/>
      <c r="G763" s="295"/>
      <c r="J763" s="296"/>
      <c r="K763" s="295"/>
      <c r="M763" s="296"/>
      <c r="N763" s="295"/>
      <c r="P763" s="296"/>
      <c r="T763" s="292"/>
    </row>
    <row r="764" ht="12.75" customHeight="1">
      <c r="D764" s="293"/>
      <c r="E764" s="107"/>
      <c r="F764" s="294"/>
      <c r="G764" s="295"/>
      <c r="J764" s="296"/>
      <c r="K764" s="295"/>
      <c r="M764" s="296"/>
      <c r="N764" s="295"/>
      <c r="P764" s="296"/>
      <c r="T764" s="292"/>
    </row>
    <row r="765" ht="12.75" customHeight="1">
      <c r="D765" s="293"/>
      <c r="E765" s="107"/>
      <c r="F765" s="294"/>
      <c r="G765" s="295"/>
      <c r="J765" s="296"/>
      <c r="K765" s="295"/>
      <c r="M765" s="296"/>
      <c r="N765" s="295"/>
      <c r="P765" s="296"/>
      <c r="T765" s="292"/>
    </row>
    <row r="766" ht="12.75" customHeight="1">
      <c r="D766" s="293"/>
      <c r="E766" s="107"/>
      <c r="F766" s="294"/>
      <c r="G766" s="295"/>
      <c r="J766" s="296"/>
      <c r="K766" s="295"/>
      <c r="M766" s="296"/>
      <c r="N766" s="295"/>
      <c r="P766" s="296"/>
      <c r="T766" s="292"/>
    </row>
    <row r="767" ht="12.75" customHeight="1">
      <c r="D767" s="293"/>
      <c r="E767" s="107"/>
      <c r="F767" s="294"/>
      <c r="G767" s="295"/>
      <c r="J767" s="296"/>
      <c r="K767" s="295"/>
      <c r="M767" s="296"/>
      <c r="N767" s="295"/>
      <c r="P767" s="296"/>
      <c r="T767" s="292"/>
    </row>
    <row r="768" ht="12.75" customHeight="1">
      <c r="D768" s="293"/>
      <c r="E768" s="107"/>
      <c r="F768" s="294"/>
      <c r="G768" s="295"/>
      <c r="J768" s="296"/>
      <c r="K768" s="295"/>
      <c r="M768" s="296"/>
      <c r="N768" s="295"/>
      <c r="P768" s="296"/>
      <c r="T768" s="292"/>
    </row>
    <row r="769" ht="12.75" customHeight="1">
      <c r="D769" s="293"/>
      <c r="E769" s="107"/>
      <c r="F769" s="294"/>
      <c r="G769" s="295"/>
      <c r="J769" s="296"/>
      <c r="K769" s="295"/>
      <c r="M769" s="296"/>
      <c r="N769" s="295"/>
      <c r="P769" s="296"/>
      <c r="T769" s="292"/>
    </row>
    <row r="770" ht="12.75" customHeight="1">
      <c r="D770" s="293"/>
      <c r="E770" s="107"/>
      <c r="F770" s="294"/>
      <c r="G770" s="295"/>
      <c r="J770" s="296"/>
      <c r="K770" s="295"/>
      <c r="M770" s="296"/>
      <c r="N770" s="295"/>
      <c r="P770" s="296"/>
      <c r="T770" s="292"/>
    </row>
    <row r="771" ht="12.75" customHeight="1">
      <c r="D771" s="293"/>
      <c r="E771" s="107"/>
      <c r="F771" s="294"/>
      <c r="G771" s="295"/>
      <c r="J771" s="296"/>
      <c r="K771" s="295"/>
      <c r="M771" s="296"/>
      <c r="N771" s="295"/>
      <c r="P771" s="296"/>
      <c r="T771" s="292"/>
    </row>
    <row r="772" ht="12.75" customHeight="1">
      <c r="D772" s="293"/>
      <c r="E772" s="107"/>
      <c r="F772" s="294"/>
      <c r="G772" s="295"/>
      <c r="J772" s="296"/>
      <c r="K772" s="295"/>
      <c r="M772" s="296"/>
      <c r="N772" s="295"/>
      <c r="P772" s="296"/>
      <c r="T772" s="292"/>
    </row>
    <row r="773" ht="12.75" customHeight="1">
      <c r="D773" s="293"/>
      <c r="E773" s="107"/>
      <c r="F773" s="294"/>
      <c r="G773" s="295"/>
      <c r="J773" s="296"/>
      <c r="K773" s="295"/>
      <c r="M773" s="296"/>
      <c r="N773" s="295"/>
      <c r="P773" s="296"/>
      <c r="T773" s="292"/>
    </row>
    <row r="774" ht="12.75" customHeight="1">
      <c r="D774" s="293"/>
      <c r="E774" s="107"/>
      <c r="F774" s="294"/>
      <c r="G774" s="295"/>
      <c r="J774" s="296"/>
      <c r="K774" s="295"/>
      <c r="M774" s="296"/>
      <c r="N774" s="295"/>
      <c r="P774" s="296"/>
      <c r="T774" s="292"/>
    </row>
    <row r="775" ht="12.75" customHeight="1">
      <c r="D775" s="293"/>
      <c r="E775" s="107"/>
      <c r="F775" s="294"/>
      <c r="G775" s="295"/>
      <c r="J775" s="296"/>
      <c r="K775" s="295"/>
      <c r="M775" s="296"/>
      <c r="N775" s="295"/>
      <c r="P775" s="296"/>
      <c r="T775" s="292"/>
    </row>
    <row r="776" ht="12.75" customHeight="1">
      <c r="D776" s="293"/>
      <c r="E776" s="107"/>
      <c r="F776" s="294"/>
      <c r="G776" s="295"/>
      <c r="J776" s="296"/>
      <c r="K776" s="295"/>
      <c r="M776" s="296"/>
      <c r="N776" s="295"/>
      <c r="P776" s="296"/>
      <c r="T776" s="292"/>
    </row>
    <row r="777" ht="12.75" customHeight="1">
      <c r="D777" s="293"/>
      <c r="E777" s="107"/>
      <c r="F777" s="294"/>
      <c r="G777" s="295"/>
      <c r="J777" s="296"/>
      <c r="K777" s="295"/>
      <c r="M777" s="296"/>
      <c r="N777" s="295"/>
      <c r="P777" s="296"/>
      <c r="T777" s="292"/>
    </row>
    <row r="778" ht="12.75" customHeight="1">
      <c r="D778" s="293"/>
      <c r="E778" s="107"/>
      <c r="F778" s="294"/>
      <c r="G778" s="295"/>
      <c r="J778" s="296"/>
      <c r="K778" s="295"/>
      <c r="M778" s="296"/>
      <c r="N778" s="295"/>
      <c r="P778" s="296"/>
      <c r="T778" s="292"/>
    </row>
    <row r="779" ht="12.75" customHeight="1">
      <c r="D779" s="293"/>
      <c r="E779" s="107"/>
      <c r="F779" s="294"/>
      <c r="G779" s="295"/>
      <c r="J779" s="296"/>
      <c r="K779" s="295"/>
      <c r="M779" s="296"/>
      <c r="N779" s="295"/>
      <c r="P779" s="296"/>
      <c r="T779" s="292"/>
    </row>
    <row r="780" ht="12.75" customHeight="1">
      <c r="D780" s="293"/>
      <c r="E780" s="107"/>
      <c r="F780" s="294"/>
      <c r="G780" s="295"/>
      <c r="J780" s="296"/>
      <c r="K780" s="295"/>
      <c r="M780" s="296"/>
      <c r="N780" s="295"/>
      <c r="P780" s="296"/>
      <c r="T780" s="292"/>
    </row>
    <row r="781" ht="12.75" customHeight="1">
      <c r="D781" s="293"/>
      <c r="E781" s="107"/>
      <c r="F781" s="294"/>
      <c r="G781" s="295"/>
      <c r="J781" s="296"/>
      <c r="K781" s="295"/>
      <c r="M781" s="296"/>
      <c r="N781" s="295"/>
      <c r="P781" s="296"/>
      <c r="T781" s="292"/>
    </row>
    <row r="782" ht="12.75" customHeight="1">
      <c r="D782" s="293"/>
      <c r="E782" s="107"/>
      <c r="F782" s="294"/>
      <c r="G782" s="295"/>
      <c r="J782" s="296"/>
      <c r="K782" s="295"/>
      <c r="M782" s="296"/>
      <c r="N782" s="295"/>
      <c r="P782" s="296"/>
      <c r="T782" s="292"/>
    </row>
    <row r="783" ht="12.75" customHeight="1">
      <c r="D783" s="293"/>
      <c r="E783" s="107"/>
      <c r="F783" s="294"/>
      <c r="G783" s="295"/>
      <c r="J783" s="296"/>
      <c r="K783" s="295"/>
      <c r="M783" s="296"/>
      <c r="N783" s="295"/>
      <c r="P783" s="296"/>
      <c r="T783" s="292"/>
    </row>
    <row r="784" ht="12.75" customHeight="1">
      <c r="D784" s="293"/>
      <c r="E784" s="107"/>
      <c r="F784" s="294"/>
      <c r="G784" s="295"/>
      <c r="J784" s="296"/>
      <c r="K784" s="295"/>
      <c r="M784" s="296"/>
      <c r="N784" s="295"/>
      <c r="P784" s="296"/>
      <c r="T784" s="292"/>
    </row>
    <row r="785" ht="12.75" customHeight="1">
      <c r="D785" s="293"/>
      <c r="E785" s="107"/>
      <c r="F785" s="294"/>
      <c r="G785" s="295"/>
      <c r="J785" s="296"/>
      <c r="K785" s="295"/>
      <c r="M785" s="296"/>
      <c r="N785" s="295"/>
      <c r="P785" s="296"/>
      <c r="T785" s="292"/>
    </row>
    <row r="786" ht="12.75" customHeight="1">
      <c r="D786" s="293"/>
      <c r="E786" s="107"/>
      <c r="F786" s="294"/>
      <c r="G786" s="295"/>
      <c r="J786" s="296"/>
      <c r="K786" s="295"/>
      <c r="M786" s="296"/>
      <c r="N786" s="295"/>
      <c r="P786" s="296"/>
      <c r="T786" s="292"/>
    </row>
    <row r="787" ht="12.75" customHeight="1">
      <c r="D787" s="293"/>
      <c r="E787" s="107"/>
      <c r="F787" s="294"/>
      <c r="G787" s="295"/>
      <c r="J787" s="296"/>
      <c r="K787" s="295"/>
      <c r="M787" s="296"/>
      <c r="N787" s="295"/>
      <c r="P787" s="296"/>
      <c r="T787" s="292"/>
    </row>
    <row r="788" ht="12.75" customHeight="1">
      <c r="D788" s="293"/>
      <c r="E788" s="107"/>
      <c r="F788" s="294"/>
      <c r="G788" s="295"/>
      <c r="J788" s="296"/>
      <c r="K788" s="295"/>
      <c r="M788" s="296"/>
      <c r="N788" s="295"/>
      <c r="P788" s="296"/>
      <c r="T788" s="292"/>
    </row>
    <row r="789" ht="12.75" customHeight="1">
      <c r="D789" s="293"/>
      <c r="E789" s="107"/>
      <c r="F789" s="294"/>
      <c r="G789" s="295"/>
      <c r="J789" s="296"/>
      <c r="K789" s="295"/>
      <c r="M789" s="296"/>
      <c r="N789" s="295"/>
      <c r="P789" s="296"/>
      <c r="T789" s="292"/>
    </row>
    <row r="790" ht="12.75" customHeight="1">
      <c r="D790" s="293"/>
      <c r="E790" s="107"/>
      <c r="F790" s="294"/>
      <c r="G790" s="295"/>
      <c r="J790" s="296"/>
      <c r="K790" s="295"/>
      <c r="M790" s="296"/>
      <c r="N790" s="295"/>
      <c r="P790" s="296"/>
      <c r="T790" s="292"/>
    </row>
    <row r="791" ht="12.75" customHeight="1">
      <c r="D791" s="293"/>
      <c r="E791" s="107"/>
      <c r="F791" s="294"/>
      <c r="G791" s="295"/>
      <c r="J791" s="296"/>
      <c r="K791" s="295"/>
      <c r="M791" s="296"/>
      <c r="N791" s="295"/>
      <c r="P791" s="296"/>
      <c r="T791" s="292"/>
    </row>
    <row r="792" ht="12.75" customHeight="1">
      <c r="D792" s="293"/>
      <c r="E792" s="107"/>
      <c r="F792" s="294"/>
      <c r="G792" s="295"/>
      <c r="J792" s="296"/>
      <c r="K792" s="295"/>
      <c r="M792" s="296"/>
      <c r="N792" s="295"/>
      <c r="P792" s="296"/>
      <c r="T792" s="292"/>
    </row>
    <row r="793" ht="12.75" customHeight="1">
      <c r="D793" s="293"/>
      <c r="E793" s="107"/>
      <c r="F793" s="294"/>
      <c r="G793" s="295"/>
      <c r="J793" s="296"/>
      <c r="K793" s="295"/>
      <c r="M793" s="296"/>
      <c r="N793" s="295"/>
      <c r="P793" s="296"/>
      <c r="T793" s="292"/>
    </row>
    <row r="794" ht="12.75" customHeight="1">
      <c r="D794" s="293"/>
      <c r="E794" s="107"/>
      <c r="F794" s="294"/>
      <c r="G794" s="295"/>
      <c r="J794" s="296"/>
      <c r="K794" s="295"/>
      <c r="M794" s="296"/>
      <c r="N794" s="295"/>
      <c r="P794" s="296"/>
      <c r="T794" s="292"/>
    </row>
    <row r="795" ht="12.75" customHeight="1">
      <c r="D795" s="293"/>
      <c r="E795" s="107"/>
      <c r="F795" s="294"/>
      <c r="G795" s="295"/>
      <c r="J795" s="296"/>
      <c r="K795" s="295"/>
      <c r="M795" s="296"/>
      <c r="N795" s="295"/>
      <c r="P795" s="296"/>
      <c r="T795" s="292"/>
    </row>
    <row r="796" ht="12.75" customHeight="1">
      <c r="D796" s="293"/>
      <c r="E796" s="107"/>
      <c r="F796" s="294"/>
      <c r="G796" s="295"/>
      <c r="J796" s="296"/>
      <c r="K796" s="295"/>
      <c r="M796" s="296"/>
      <c r="N796" s="295"/>
      <c r="P796" s="296"/>
      <c r="T796" s="292"/>
    </row>
    <row r="797" ht="12.75" customHeight="1">
      <c r="D797" s="293"/>
      <c r="E797" s="107"/>
      <c r="F797" s="294"/>
      <c r="G797" s="295"/>
      <c r="J797" s="296"/>
      <c r="K797" s="295"/>
      <c r="M797" s="296"/>
      <c r="N797" s="295"/>
      <c r="P797" s="296"/>
      <c r="T797" s="292"/>
    </row>
    <row r="798" ht="12.75" customHeight="1">
      <c r="D798" s="293"/>
      <c r="E798" s="107"/>
      <c r="F798" s="294"/>
      <c r="G798" s="295"/>
      <c r="J798" s="296"/>
      <c r="K798" s="295"/>
      <c r="M798" s="296"/>
      <c r="N798" s="295"/>
      <c r="P798" s="296"/>
      <c r="T798" s="292"/>
    </row>
    <row r="799" ht="12.75" customHeight="1">
      <c r="D799" s="293"/>
      <c r="E799" s="107"/>
      <c r="F799" s="294"/>
      <c r="G799" s="295"/>
      <c r="J799" s="296"/>
      <c r="K799" s="295"/>
      <c r="M799" s="296"/>
      <c r="N799" s="295"/>
      <c r="P799" s="296"/>
      <c r="T799" s="292"/>
    </row>
    <row r="800" ht="12.75" customHeight="1">
      <c r="D800" s="293"/>
      <c r="E800" s="107"/>
      <c r="F800" s="294"/>
      <c r="G800" s="295"/>
      <c r="J800" s="296"/>
      <c r="K800" s="295"/>
      <c r="M800" s="296"/>
      <c r="N800" s="295"/>
      <c r="P800" s="296"/>
      <c r="T800" s="292"/>
    </row>
    <row r="801" ht="12.75" customHeight="1">
      <c r="D801" s="293"/>
      <c r="E801" s="107"/>
      <c r="F801" s="294"/>
      <c r="G801" s="295"/>
      <c r="J801" s="296"/>
      <c r="K801" s="295"/>
      <c r="M801" s="296"/>
      <c r="N801" s="295"/>
      <c r="P801" s="296"/>
      <c r="T801" s="292"/>
    </row>
    <row r="802" ht="12.75" customHeight="1">
      <c r="D802" s="293"/>
      <c r="E802" s="107"/>
      <c r="F802" s="294"/>
      <c r="G802" s="295"/>
      <c r="J802" s="296"/>
      <c r="K802" s="295"/>
      <c r="M802" s="296"/>
      <c r="N802" s="295"/>
      <c r="P802" s="296"/>
      <c r="T802" s="292"/>
    </row>
    <row r="803" ht="12.75" customHeight="1">
      <c r="D803" s="293"/>
      <c r="E803" s="107"/>
      <c r="F803" s="294"/>
      <c r="G803" s="295"/>
      <c r="J803" s="296"/>
      <c r="K803" s="295"/>
      <c r="M803" s="296"/>
      <c r="N803" s="295"/>
      <c r="P803" s="296"/>
      <c r="T803" s="292"/>
    </row>
    <row r="804" ht="12.75" customHeight="1">
      <c r="D804" s="293"/>
      <c r="E804" s="107"/>
      <c r="F804" s="294"/>
      <c r="G804" s="295"/>
      <c r="J804" s="296"/>
      <c r="K804" s="295"/>
      <c r="M804" s="296"/>
      <c r="N804" s="295"/>
      <c r="P804" s="296"/>
      <c r="T804" s="292"/>
    </row>
    <row r="805" ht="12.75" customHeight="1">
      <c r="D805" s="293"/>
      <c r="E805" s="107"/>
      <c r="F805" s="294"/>
      <c r="G805" s="295"/>
      <c r="J805" s="296"/>
      <c r="K805" s="295"/>
      <c r="M805" s="296"/>
      <c r="N805" s="295"/>
      <c r="P805" s="296"/>
      <c r="T805" s="292"/>
    </row>
    <row r="806" ht="12.75" customHeight="1">
      <c r="D806" s="293"/>
      <c r="E806" s="107"/>
      <c r="F806" s="294"/>
      <c r="G806" s="295"/>
      <c r="J806" s="296"/>
      <c r="K806" s="295"/>
      <c r="M806" s="296"/>
      <c r="N806" s="295"/>
      <c r="P806" s="296"/>
      <c r="T806" s="292"/>
    </row>
    <row r="807" ht="12.75" customHeight="1">
      <c r="D807" s="293"/>
      <c r="E807" s="107"/>
      <c r="F807" s="294"/>
      <c r="G807" s="295"/>
      <c r="J807" s="296"/>
      <c r="K807" s="295"/>
      <c r="M807" s="296"/>
      <c r="N807" s="295"/>
      <c r="P807" s="296"/>
      <c r="T807" s="292"/>
    </row>
    <row r="808" ht="12.75" customHeight="1">
      <c r="D808" s="293"/>
      <c r="E808" s="107"/>
      <c r="F808" s="294"/>
      <c r="G808" s="295"/>
      <c r="J808" s="296"/>
      <c r="K808" s="295"/>
      <c r="M808" s="296"/>
      <c r="N808" s="295"/>
      <c r="P808" s="296"/>
      <c r="T808" s="292"/>
    </row>
    <row r="809" ht="12.75" customHeight="1">
      <c r="D809" s="293"/>
      <c r="E809" s="107"/>
      <c r="F809" s="294"/>
      <c r="G809" s="295"/>
      <c r="J809" s="296"/>
      <c r="K809" s="295"/>
      <c r="M809" s="296"/>
      <c r="N809" s="295"/>
      <c r="P809" s="296"/>
      <c r="T809" s="292"/>
    </row>
    <row r="810" ht="12.75" customHeight="1">
      <c r="D810" s="293"/>
      <c r="E810" s="107"/>
      <c r="F810" s="294"/>
      <c r="G810" s="295"/>
      <c r="J810" s="296"/>
      <c r="K810" s="295"/>
      <c r="M810" s="296"/>
      <c r="N810" s="295"/>
      <c r="P810" s="296"/>
      <c r="T810" s="292"/>
    </row>
    <row r="811" ht="12.75" customHeight="1">
      <c r="D811" s="293"/>
      <c r="E811" s="107"/>
      <c r="F811" s="294"/>
      <c r="G811" s="295"/>
      <c r="J811" s="296"/>
      <c r="K811" s="295"/>
      <c r="M811" s="296"/>
      <c r="N811" s="295"/>
      <c r="P811" s="296"/>
      <c r="T811" s="292"/>
    </row>
    <row r="812" ht="12.75" customHeight="1">
      <c r="D812" s="293"/>
      <c r="E812" s="107"/>
      <c r="F812" s="294"/>
      <c r="G812" s="295"/>
      <c r="J812" s="296"/>
      <c r="K812" s="295"/>
      <c r="M812" s="296"/>
      <c r="N812" s="295"/>
      <c r="P812" s="296"/>
      <c r="T812" s="292"/>
    </row>
    <row r="813" ht="12.75" customHeight="1">
      <c r="D813" s="293"/>
      <c r="E813" s="107"/>
      <c r="F813" s="294"/>
      <c r="G813" s="295"/>
      <c r="J813" s="296"/>
      <c r="K813" s="295"/>
      <c r="M813" s="296"/>
      <c r="N813" s="295"/>
      <c r="P813" s="296"/>
      <c r="T813" s="292"/>
    </row>
    <row r="814" ht="12.75" customHeight="1">
      <c r="D814" s="293"/>
      <c r="E814" s="107"/>
      <c r="F814" s="294"/>
      <c r="G814" s="295"/>
      <c r="J814" s="296"/>
      <c r="K814" s="295"/>
      <c r="M814" s="296"/>
      <c r="N814" s="295"/>
      <c r="P814" s="296"/>
      <c r="T814" s="292"/>
    </row>
    <row r="815" ht="12.75" customHeight="1">
      <c r="D815" s="293"/>
      <c r="E815" s="107"/>
      <c r="F815" s="294"/>
      <c r="G815" s="295"/>
      <c r="J815" s="296"/>
      <c r="K815" s="295"/>
      <c r="M815" s="296"/>
      <c r="N815" s="295"/>
      <c r="P815" s="296"/>
      <c r="T815" s="292"/>
    </row>
    <row r="816" ht="12.75" customHeight="1">
      <c r="D816" s="293"/>
      <c r="E816" s="107"/>
      <c r="F816" s="294"/>
      <c r="G816" s="295"/>
      <c r="J816" s="296"/>
      <c r="K816" s="295"/>
      <c r="M816" s="296"/>
      <c r="N816" s="295"/>
      <c r="P816" s="296"/>
      <c r="T816" s="292"/>
    </row>
    <row r="817" ht="12.75" customHeight="1">
      <c r="D817" s="293"/>
      <c r="E817" s="107"/>
      <c r="F817" s="294"/>
      <c r="G817" s="295"/>
      <c r="J817" s="296"/>
      <c r="K817" s="295"/>
      <c r="M817" s="296"/>
      <c r="N817" s="295"/>
      <c r="P817" s="296"/>
      <c r="T817" s="292"/>
    </row>
    <row r="818" ht="12.75" customHeight="1">
      <c r="D818" s="293"/>
      <c r="E818" s="107"/>
      <c r="F818" s="294"/>
      <c r="G818" s="295"/>
      <c r="J818" s="296"/>
      <c r="K818" s="295"/>
      <c r="M818" s="296"/>
      <c r="N818" s="295"/>
      <c r="P818" s="296"/>
      <c r="T818" s="292"/>
    </row>
    <row r="819" ht="12.75" customHeight="1">
      <c r="D819" s="293"/>
      <c r="E819" s="107"/>
      <c r="F819" s="294"/>
      <c r="G819" s="295"/>
      <c r="J819" s="296"/>
      <c r="K819" s="295"/>
      <c r="M819" s="296"/>
      <c r="N819" s="295"/>
      <c r="P819" s="296"/>
      <c r="T819" s="292"/>
    </row>
    <row r="820" ht="12.75" customHeight="1">
      <c r="D820" s="293"/>
      <c r="E820" s="107"/>
      <c r="F820" s="294"/>
      <c r="G820" s="295"/>
      <c r="J820" s="296"/>
      <c r="K820" s="295"/>
      <c r="M820" s="296"/>
      <c r="N820" s="295"/>
      <c r="P820" s="296"/>
      <c r="T820" s="292"/>
    </row>
    <row r="821" ht="12.75" customHeight="1">
      <c r="D821" s="293"/>
      <c r="E821" s="107"/>
      <c r="F821" s="294"/>
      <c r="G821" s="295"/>
      <c r="J821" s="296"/>
      <c r="K821" s="295"/>
      <c r="M821" s="296"/>
      <c r="N821" s="295"/>
      <c r="P821" s="296"/>
      <c r="T821" s="292"/>
    </row>
    <row r="822" ht="12.75" customHeight="1">
      <c r="D822" s="293"/>
      <c r="E822" s="107"/>
      <c r="F822" s="294"/>
      <c r="G822" s="295"/>
      <c r="J822" s="296"/>
      <c r="K822" s="295"/>
      <c r="M822" s="296"/>
      <c r="N822" s="295"/>
      <c r="P822" s="296"/>
      <c r="T822" s="292"/>
    </row>
    <row r="823" ht="12.75" customHeight="1">
      <c r="D823" s="293"/>
      <c r="E823" s="107"/>
      <c r="F823" s="294"/>
      <c r="G823" s="295"/>
      <c r="J823" s="296"/>
      <c r="K823" s="295"/>
      <c r="M823" s="296"/>
      <c r="N823" s="295"/>
      <c r="P823" s="296"/>
      <c r="T823" s="292"/>
    </row>
    <row r="824" ht="12.75" customHeight="1">
      <c r="D824" s="293"/>
      <c r="E824" s="107"/>
      <c r="F824" s="294"/>
      <c r="G824" s="295"/>
      <c r="J824" s="296"/>
      <c r="K824" s="295"/>
      <c r="M824" s="296"/>
      <c r="N824" s="295"/>
      <c r="P824" s="296"/>
      <c r="T824" s="292"/>
    </row>
    <row r="825" ht="12.75" customHeight="1">
      <c r="D825" s="293"/>
      <c r="E825" s="107"/>
      <c r="F825" s="294"/>
      <c r="G825" s="295"/>
      <c r="J825" s="296"/>
      <c r="K825" s="295"/>
      <c r="M825" s="296"/>
      <c r="N825" s="295"/>
      <c r="P825" s="296"/>
      <c r="T825" s="292"/>
    </row>
    <row r="826" ht="12.75" customHeight="1">
      <c r="D826" s="293"/>
      <c r="E826" s="107"/>
      <c r="F826" s="294"/>
      <c r="G826" s="295"/>
      <c r="J826" s="296"/>
      <c r="K826" s="295"/>
      <c r="M826" s="296"/>
      <c r="N826" s="295"/>
      <c r="P826" s="296"/>
      <c r="T826" s="292"/>
    </row>
    <row r="827" ht="12.75" customHeight="1">
      <c r="D827" s="293"/>
      <c r="E827" s="107"/>
      <c r="F827" s="294"/>
      <c r="G827" s="295"/>
      <c r="J827" s="296"/>
      <c r="K827" s="295"/>
      <c r="M827" s="296"/>
      <c r="N827" s="295"/>
      <c r="P827" s="296"/>
      <c r="T827" s="292"/>
    </row>
    <row r="828" ht="12.75" customHeight="1">
      <c r="D828" s="293"/>
      <c r="E828" s="107"/>
      <c r="F828" s="294"/>
      <c r="G828" s="295"/>
      <c r="J828" s="296"/>
      <c r="K828" s="295"/>
      <c r="M828" s="296"/>
      <c r="N828" s="295"/>
      <c r="P828" s="296"/>
      <c r="T828" s="292"/>
    </row>
    <row r="829" ht="12.75" customHeight="1">
      <c r="D829" s="293"/>
      <c r="E829" s="107"/>
      <c r="F829" s="294"/>
      <c r="G829" s="295"/>
      <c r="J829" s="296"/>
      <c r="K829" s="295"/>
      <c r="M829" s="296"/>
      <c r="N829" s="295"/>
      <c r="P829" s="296"/>
      <c r="T829" s="292"/>
    </row>
    <row r="830" ht="12.75" customHeight="1">
      <c r="D830" s="293"/>
      <c r="E830" s="107"/>
      <c r="F830" s="294"/>
      <c r="G830" s="295"/>
      <c r="J830" s="296"/>
      <c r="K830" s="295"/>
      <c r="M830" s="296"/>
      <c r="N830" s="295"/>
      <c r="P830" s="296"/>
      <c r="T830" s="292"/>
    </row>
    <row r="831" ht="12.75" customHeight="1">
      <c r="D831" s="293"/>
      <c r="E831" s="107"/>
      <c r="F831" s="294"/>
      <c r="G831" s="295"/>
      <c r="J831" s="296"/>
      <c r="K831" s="295"/>
      <c r="M831" s="296"/>
      <c r="N831" s="295"/>
      <c r="P831" s="296"/>
      <c r="T831" s="292"/>
    </row>
    <row r="832" ht="12.75" customHeight="1">
      <c r="D832" s="293"/>
      <c r="E832" s="107"/>
      <c r="F832" s="294"/>
      <c r="G832" s="295"/>
      <c r="J832" s="296"/>
      <c r="K832" s="295"/>
      <c r="M832" s="296"/>
      <c r="N832" s="295"/>
      <c r="P832" s="296"/>
      <c r="T832" s="292"/>
    </row>
    <row r="833" ht="12.75" customHeight="1">
      <c r="D833" s="293"/>
      <c r="E833" s="107"/>
      <c r="F833" s="294"/>
      <c r="G833" s="295"/>
      <c r="J833" s="296"/>
      <c r="K833" s="295"/>
      <c r="M833" s="296"/>
      <c r="N833" s="295"/>
      <c r="P833" s="296"/>
      <c r="T833" s="292"/>
    </row>
    <row r="834" ht="12.75" customHeight="1">
      <c r="D834" s="293"/>
      <c r="E834" s="107"/>
      <c r="F834" s="294"/>
      <c r="G834" s="295"/>
      <c r="J834" s="296"/>
      <c r="K834" s="295"/>
      <c r="M834" s="296"/>
      <c r="N834" s="295"/>
      <c r="P834" s="296"/>
      <c r="T834" s="292"/>
    </row>
    <row r="835" ht="12.75" customHeight="1">
      <c r="D835" s="293"/>
      <c r="E835" s="107"/>
      <c r="F835" s="294"/>
      <c r="G835" s="295"/>
      <c r="J835" s="296"/>
      <c r="K835" s="295"/>
      <c r="M835" s="296"/>
      <c r="N835" s="295"/>
      <c r="P835" s="296"/>
      <c r="T835" s="292"/>
    </row>
    <row r="836" ht="12.75" customHeight="1">
      <c r="D836" s="293"/>
      <c r="E836" s="107"/>
      <c r="F836" s="294"/>
      <c r="G836" s="295"/>
      <c r="J836" s="296"/>
      <c r="K836" s="295"/>
      <c r="M836" s="296"/>
      <c r="N836" s="295"/>
      <c r="P836" s="296"/>
      <c r="T836" s="292"/>
    </row>
    <row r="837" ht="12.75" customHeight="1">
      <c r="D837" s="293"/>
      <c r="E837" s="107"/>
      <c r="F837" s="294"/>
      <c r="G837" s="295"/>
      <c r="J837" s="296"/>
      <c r="K837" s="295"/>
      <c r="M837" s="296"/>
      <c r="N837" s="295"/>
      <c r="P837" s="296"/>
      <c r="T837" s="292"/>
    </row>
    <row r="838" ht="12.75" customHeight="1">
      <c r="D838" s="293"/>
      <c r="E838" s="107"/>
      <c r="F838" s="294"/>
      <c r="G838" s="295"/>
      <c r="J838" s="296"/>
      <c r="K838" s="295"/>
      <c r="M838" s="296"/>
      <c r="N838" s="295"/>
      <c r="P838" s="296"/>
      <c r="T838" s="292"/>
    </row>
    <row r="839" ht="12.75" customHeight="1">
      <c r="D839" s="293"/>
      <c r="E839" s="107"/>
      <c r="F839" s="294"/>
      <c r="G839" s="295"/>
      <c r="J839" s="296"/>
      <c r="K839" s="295"/>
      <c r="M839" s="296"/>
      <c r="N839" s="295"/>
      <c r="P839" s="296"/>
      <c r="T839" s="292"/>
    </row>
    <row r="840" ht="12.75" customHeight="1">
      <c r="D840" s="293"/>
      <c r="E840" s="107"/>
      <c r="F840" s="294"/>
      <c r="G840" s="295"/>
      <c r="J840" s="296"/>
      <c r="K840" s="295"/>
      <c r="M840" s="296"/>
      <c r="N840" s="295"/>
      <c r="P840" s="296"/>
      <c r="T840" s="292"/>
    </row>
    <row r="841" ht="12.75" customHeight="1">
      <c r="D841" s="293"/>
      <c r="E841" s="107"/>
      <c r="F841" s="294"/>
      <c r="G841" s="295"/>
      <c r="J841" s="296"/>
      <c r="K841" s="295"/>
      <c r="M841" s="296"/>
      <c r="N841" s="295"/>
      <c r="P841" s="296"/>
      <c r="T841" s="292"/>
    </row>
    <row r="842" ht="12.75" customHeight="1">
      <c r="D842" s="293"/>
      <c r="E842" s="107"/>
      <c r="F842" s="294"/>
      <c r="G842" s="295"/>
      <c r="J842" s="296"/>
      <c r="K842" s="295"/>
      <c r="M842" s="296"/>
      <c r="N842" s="295"/>
      <c r="P842" s="296"/>
      <c r="T842" s="292"/>
    </row>
    <row r="843" ht="12.75" customHeight="1">
      <c r="D843" s="293"/>
      <c r="E843" s="107"/>
      <c r="F843" s="294"/>
      <c r="G843" s="295"/>
      <c r="J843" s="296"/>
      <c r="K843" s="295"/>
      <c r="M843" s="296"/>
      <c r="N843" s="295"/>
      <c r="P843" s="296"/>
      <c r="T843" s="292"/>
    </row>
    <row r="844" ht="12.75" customHeight="1">
      <c r="D844" s="293"/>
      <c r="E844" s="107"/>
      <c r="F844" s="294"/>
      <c r="G844" s="295"/>
      <c r="J844" s="296"/>
      <c r="K844" s="295"/>
      <c r="M844" s="296"/>
      <c r="N844" s="295"/>
      <c r="P844" s="296"/>
      <c r="T844" s="292"/>
    </row>
    <row r="845" ht="12.75" customHeight="1">
      <c r="D845" s="293"/>
      <c r="E845" s="107"/>
      <c r="F845" s="294"/>
      <c r="G845" s="295"/>
      <c r="J845" s="296"/>
      <c r="K845" s="295"/>
      <c r="M845" s="296"/>
      <c r="N845" s="295"/>
      <c r="P845" s="296"/>
      <c r="T845" s="292"/>
    </row>
    <row r="846" ht="12.75" customHeight="1">
      <c r="D846" s="293"/>
      <c r="E846" s="107"/>
      <c r="F846" s="294"/>
      <c r="G846" s="295"/>
      <c r="J846" s="296"/>
      <c r="K846" s="295"/>
      <c r="M846" s="296"/>
      <c r="N846" s="295"/>
      <c r="P846" s="296"/>
      <c r="T846" s="292"/>
    </row>
    <row r="847" ht="12.75" customHeight="1">
      <c r="D847" s="293"/>
      <c r="E847" s="107"/>
      <c r="F847" s="294"/>
      <c r="G847" s="295"/>
      <c r="J847" s="296"/>
      <c r="K847" s="295"/>
      <c r="M847" s="296"/>
      <c r="N847" s="295"/>
      <c r="P847" s="296"/>
      <c r="T847" s="292"/>
    </row>
    <row r="848" ht="12.75" customHeight="1">
      <c r="D848" s="293"/>
      <c r="E848" s="107"/>
      <c r="F848" s="294"/>
      <c r="G848" s="295"/>
      <c r="J848" s="296"/>
      <c r="K848" s="295"/>
      <c r="M848" s="296"/>
      <c r="N848" s="295"/>
      <c r="P848" s="296"/>
      <c r="T848" s="292"/>
    </row>
    <row r="849" ht="12.75" customHeight="1">
      <c r="D849" s="293"/>
      <c r="E849" s="107"/>
      <c r="F849" s="294"/>
      <c r="G849" s="295"/>
      <c r="J849" s="296"/>
      <c r="K849" s="295"/>
      <c r="M849" s="296"/>
      <c r="N849" s="295"/>
      <c r="P849" s="296"/>
      <c r="T849" s="292"/>
    </row>
    <row r="850" ht="12.75" customHeight="1">
      <c r="D850" s="293"/>
      <c r="E850" s="107"/>
      <c r="F850" s="294"/>
      <c r="G850" s="295"/>
      <c r="J850" s="296"/>
      <c r="K850" s="295"/>
      <c r="M850" s="296"/>
      <c r="N850" s="295"/>
      <c r="P850" s="296"/>
      <c r="T850" s="292"/>
    </row>
    <row r="851" ht="12.75" customHeight="1">
      <c r="D851" s="293"/>
      <c r="E851" s="107"/>
      <c r="F851" s="294"/>
      <c r="G851" s="295"/>
      <c r="J851" s="296"/>
      <c r="K851" s="295"/>
      <c r="M851" s="296"/>
      <c r="N851" s="295"/>
      <c r="P851" s="296"/>
      <c r="T851" s="292"/>
    </row>
    <row r="852" ht="12.75" customHeight="1">
      <c r="D852" s="293"/>
      <c r="E852" s="107"/>
      <c r="F852" s="294"/>
      <c r="G852" s="295"/>
      <c r="J852" s="296"/>
      <c r="K852" s="295"/>
      <c r="M852" s="296"/>
      <c r="N852" s="295"/>
      <c r="P852" s="296"/>
      <c r="T852" s="292"/>
    </row>
    <row r="853" ht="12.75" customHeight="1">
      <c r="D853" s="293"/>
      <c r="E853" s="107"/>
      <c r="F853" s="294"/>
      <c r="G853" s="295"/>
      <c r="J853" s="296"/>
      <c r="K853" s="295"/>
      <c r="M853" s="296"/>
      <c r="N853" s="295"/>
      <c r="P853" s="296"/>
      <c r="T853" s="292"/>
    </row>
    <row r="854" ht="12.75" customHeight="1">
      <c r="D854" s="293"/>
      <c r="E854" s="107"/>
      <c r="F854" s="294"/>
      <c r="G854" s="295"/>
      <c r="J854" s="296"/>
      <c r="K854" s="295"/>
      <c r="M854" s="296"/>
      <c r="N854" s="295"/>
      <c r="P854" s="296"/>
      <c r="T854" s="292"/>
    </row>
    <row r="855" ht="12.75" customHeight="1">
      <c r="D855" s="293"/>
      <c r="E855" s="107"/>
      <c r="F855" s="294"/>
      <c r="G855" s="295"/>
      <c r="J855" s="296"/>
      <c r="K855" s="295"/>
      <c r="M855" s="296"/>
      <c r="N855" s="295"/>
      <c r="P855" s="296"/>
      <c r="T855" s="292"/>
    </row>
    <row r="856" ht="12.75" customHeight="1">
      <c r="D856" s="293"/>
      <c r="E856" s="107"/>
      <c r="F856" s="294"/>
      <c r="G856" s="295"/>
      <c r="J856" s="296"/>
      <c r="K856" s="295"/>
      <c r="M856" s="296"/>
      <c r="N856" s="295"/>
      <c r="P856" s="296"/>
      <c r="T856" s="292"/>
    </row>
    <row r="857" ht="12.75" customHeight="1">
      <c r="D857" s="293"/>
      <c r="E857" s="107"/>
      <c r="F857" s="294"/>
      <c r="G857" s="295"/>
      <c r="J857" s="296"/>
      <c r="K857" s="295"/>
      <c r="M857" s="296"/>
      <c r="N857" s="295"/>
      <c r="P857" s="296"/>
      <c r="T857" s="292"/>
    </row>
    <row r="858" ht="12.75" customHeight="1">
      <c r="D858" s="293"/>
      <c r="E858" s="107"/>
      <c r="F858" s="294"/>
      <c r="G858" s="295"/>
      <c r="J858" s="296"/>
      <c r="K858" s="295"/>
      <c r="M858" s="296"/>
      <c r="N858" s="295"/>
      <c r="P858" s="296"/>
      <c r="T858" s="292"/>
    </row>
    <row r="859" ht="12.75" customHeight="1">
      <c r="D859" s="293"/>
      <c r="E859" s="107"/>
      <c r="F859" s="294"/>
      <c r="G859" s="295"/>
      <c r="J859" s="296"/>
      <c r="K859" s="295"/>
      <c r="M859" s="296"/>
      <c r="N859" s="295"/>
      <c r="P859" s="296"/>
      <c r="T859" s="292"/>
    </row>
    <row r="860" ht="12.75" customHeight="1">
      <c r="D860" s="293"/>
      <c r="E860" s="107"/>
      <c r="F860" s="294"/>
      <c r="G860" s="295"/>
      <c r="J860" s="296"/>
      <c r="K860" s="295"/>
      <c r="M860" s="296"/>
      <c r="N860" s="295"/>
      <c r="P860" s="296"/>
      <c r="T860" s="292"/>
    </row>
    <row r="861" ht="12.75" customHeight="1">
      <c r="D861" s="293"/>
      <c r="E861" s="107"/>
      <c r="F861" s="294"/>
      <c r="G861" s="295"/>
      <c r="J861" s="296"/>
      <c r="K861" s="295"/>
      <c r="M861" s="296"/>
      <c r="N861" s="295"/>
      <c r="P861" s="296"/>
      <c r="T861" s="292"/>
    </row>
    <row r="862" ht="12.75" customHeight="1">
      <c r="D862" s="293"/>
      <c r="E862" s="107"/>
      <c r="F862" s="294"/>
      <c r="G862" s="295"/>
      <c r="J862" s="296"/>
      <c r="K862" s="295"/>
      <c r="M862" s="296"/>
      <c r="N862" s="295"/>
      <c r="P862" s="296"/>
      <c r="T862" s="292"/>
    </row>
    <row r="863" ht="12.75" customHeight="1">
      <c r="D863" s="293"/>
      <c r="E863" s="107"/>
      <c r="F863" s="294"/>
      <c r="G863" s="295"/>
      <c r="J863" s="296"/>
      <c r="K863" s="295"/>
      <c r="M863" s="296"/>
      <c r="N863" s="295"/>
      <c r="P863" s="296"/>
      <c r="T863" s="292"/>
    </row>
    <row r="864" ht="12.75" customHeight="1">
      <c r="D864" s="293"/>
      <c r="E864" s="107"/>
      <c r="F864" s="294"/>
      <c r="G864" s="295"/>
      <c r="J864" s="296"/>
      <c r="K864" s="295"/>
      <c r="M864" s="296"/>
      <c r="N864" s="295"/>
      <c r="P864" s="296"/>
      <c r="T864" s="292"/>
    </row>
    <row r="865" ht="12.75" customHeight="1">
      <c r="D865" s="293"/>
      <c r="E865" s="107"/>
      <c r="F865" s="294"/>
      <c r="G865" s="295"/>
      <c r="J865" s="296"/>
      <c r="K865" s="295"/>
      <c r="M865" s="296"/>
      <c r="N865" s="295"/>
      <c r="P865" s="296"/>
      <c r="T865" s="292"/>
    </row>
    <row r="866" ht="12.75" customHeight="1">
      <c r="D866" s="293"/>
      <c r="E866" s="107"/>
      <c r="F866" s="294"/>
      <c r="G866" s="295"/>
      <c r="J866" s="296"/>
      <c r="K866" s="295"/>
      <c r="M866" s="296"/>
      <c r="N866" s="295"/>
      <c r="P866" s="296"/>
      <c r="T866" s="292"/>
    </row>
    <row r="867" ht="12.75" customHeight="1">
      <c r="D867" s="293"/>
      <c r="E867" s="107"/>
      <c r="F867" s="294"/>
      <c r="G867" s="295"/>
      <c r="J867" s="296"/>
      <c r="K867" s="295"/>
      <c r="M867" s="296"/>
      <c r="N867" s="295"/>
      <c r="P867" s="296"/>
      <c r="T867" s="292"/>
    </row>
    <row r="868" ht="12.75" customHeight="1">
      <c r="D868" s="293"/>
      <c r="E868" s="107"/>
      <c r="F868" s="294"/>
      <c r="G868" s="295"/>
      <c r="J868" s="296"/>
      <c r="K868" s="295"/>
      <c r="M868" s="296"/>
      <c r="N868" s="295"/>
      <c r="P868" s="296"/>
      <c r="T868" s="292"/>
    </row>
    <row r="869" ht="12.75" customHeight="1">
      <c r="D869" s="293"/>
      <c r="E869" s="107"/>
      <c r="F869" s="294"/>
      <c r="G869" s="295"/>
      <c r="J869" s="296"/>
      <c r="K869" s="295"/>
      <c r="M869" s="296"/>
      <c r="N869" s="295"/>
      <c r="P869" s="296"/>
      <c r="T869" s="292"/>
    </row>
    <row r="870" ht="12.75" customHeight="1">
      <c r="D870" s="293"/>
      <c r="E870" s="107"/>
      <c r="F870" s="294"/>
      <c r="G870" s="295"/>
      <c r="J870" s="296"/>
      <c r="K870" s="295"/>
      <c r="M870" s="296"/>
      <c r="N870" s="295"/>
      <c r="P870" s="296"/>
      <c r="T870" s="292"/>
    </row>
    <row r="871" ht="12.75" customHeight="1">
      <c r="D871" s="293"/>
      <c r="E871" s="107"/>
      <c r="F871" s="294"/>
      <c r="G871" s="295"/>
      <c r="J871" s="296"/>
      <c r="K871" s="295"/>
      <c r="M871" s="296"/>
      <c r="N871" s="295"/>
      <c r="P871" s="296"/>
      <c r="T871" s="292"/>
    </row>
    <row r="872" ht="12.75" customHeight="1">
      <c r="D872" s="293"/>
      <c r="E872" s="107"/>
      <c r="F872" s="294"/>
      <c r="G872" s="295"/>
      <c r="J872" s="296"/>
      <c r="K872" s="295"/>
      <c r="M872" s="296"/>
      <c r="N872" s="295"/>
      <c r="P872" s="296"/>
      <c r="T872" s="292"/>
    </row>
    <row r="873" ht="12.75" customHeight="1">
      <c r="D873" s="293"/>
      <c r="E873" s="107"/>
      <c r="F873" s="294"/>
      <c r="G873" s="295"/>
      <c r="J873" s="296"/>
      <c r="K873" s="295"/>
      <c r="M873" s="296"/>
      <c r="N873" s="295"/>
      <c r="P873" s="296"/>
      <c r="T873" s="292"/>
    </row>
    <row r="874" ht="12.75" customHeight="1">
      <c r="D874" s="293"/>
      <c r="E874" s="107"/>
      <c r="F874" s="294"/>
      <c r="G874" s="295"/>
      <c r="J874" s="296"/>
      <c r="K874" s="295"/>
      <c r="M874" s="296"/>
      <c r="N874" s="295"/>
      <c r="P874" s="296"/>
      <c r="T874" s="292"/>
    </row>
    <row r="875" ht="12.75" customHeight="1">
      <c r="D875" s="293"/>
      <c r="E875" s="107"/>
      <c r="F875" s="294"/>
      <c r="G875" s="295"/>
      <c r="J875" s="296"/>
      <c r="K875" s="295"/>
      <c r="M875" s="296"/>
      <c r="N875" s="295"/>
      <c r="P875" s="296"/>
      <c r="T875" s="292"/>
    </row>
    <row r="876" ht="12.75" customHeight="1">
      <c r="D876" s="293"/>
      <c r="E876" s="107"/>
      <c r="F876" s="294"/>
      <c r="G876" s="295"/>
      <c r="J876" s="296"/>
      <c r="K876" s="295"/>
      <c r="M876" s="296"/>
      <c r="N876" s="295"/>
      <c r="P876" s="296"/>
      <c r="T876" s="292"/>
    </row>
    <row r="877" ht="12.75" customHeight="1">
      <c r="D877" s="293"/>
      <c r="E877" s="107"/>
      <c r="F877" s="294"/>
      <c r="G877" s="295"/>
      <c r="J877" s="296"/>
      <c r="K877" s="295"/>
      <c r="M877" s="296"/>
      <c r="N877" s="295"/>
      <c r="P877" s="296"/>
      <c r="T877" s="292"/>
    </row>
    <row r="878" ht="12.75" customHeight="1">
      <c r="D878" s="293"/>
      <c r="E878" s="107"/>
      <c r="F878" s="294"/>
      <c r="G878" s="295"/>
      <c r="J878" s="296"/>
      <c r="K878" s="295"/>
      <c r="M878" s="296"/>
      <c r="N878" s="295"/>
      <c r="P878" s="296"/>
      <c r="T878" s="292"/>
    </row>
    <row r="879" ht="12.75" customHeight="1">
      <c r="D879" s="293"/>
      <c r="E879" s="107"/>
      <c r="F879" s="294"/>
      <c r="G879" s="295"/>
      <c r="J879" s="296"/>
      <c r="K879" s="295"/>
      <c r="M879" s="296"/>
      <c r="N879" s="295"/>
      <c r="P879" s="296"/>
      <c r="T879" s="292"/>
    </row>
    <row r="880" ht="12.75" customHeight="1">
      <c r="D880" s="293"/>
      <c r="E880" s="107"/>
      <c r="F880" s="294"/>
      <c r="G880" s="295"/>
      <c r="J880" s="296"/>
      <c r="K880" s="295"/>
      <c r="M880" s="296"/>
      <c r="N880" s="295"/>
      <c r="P880" s="296"/>
      <c r="T880" s="292"/>
    </row>
    <row r="881" ht="12.75" customHeight="1">
      <c r="D881" s="293"/>
      <c r="E881" s="107"/>
      <c r="F881" s="294"/>
      <c r="G881" s="295"/>
      <c r="J881" s="296"/>
      <c r="K881" s="295"/>
      <c r="M881" s="296"/>
      <c r="N881" s="295"/>
      <c r="P881" s="296"/>
      <c r="T881" s="292"/>
    </row>
    <row r="882" ht="12.75" customHeight="1">
      <c r="D882" s="293"/>
      <c r="E882" s="107"/>
      <c r="F882" s="294"/>
      <c r="G882" s="295"/>
      <c r="J882" s="296"/>
      <c r="K882" s="295"/>
      <c r="M882" s="296"/>
      <c r="N882" s="295"/>
      <c r="P882" s="296"/>
      <c r="T882" s="292"/>
    </row>
    <row r="883" ht="12.75" customHeight="1">
      <c r="D883" s="293"/>
      <c r="E883" s="107"/>
      <c r="F883" s="294"/>
      <c r="G883" s="295"/>
      <c r="J883" s="296"/>
      <c r="K883" s="295"/>
      <c r="M883" s="296"/>
      <c r="N883" s="295"/>
      <c r="P883" s="296"/>
      <c r="T883" s="292"/>
    </row>
    <row r="884" ht="12.75" customHeight="1">
      <c r="D884" s="293"/>
      <c r="E884" s="107"/>
      <c r="F884" s="294"/>
      <c r="G884" s="295"/>
      <c r="J884" s="296"/>
      <c r="K884" s="295"/>
      <c r="M884" s="296"/>
      <c r="N884" s="295"/>
      <c r="P884" s="296"/>
      <c r="T884" s="292"/>
    </row>
    <row r="885" ht="12.75" customHeight="1">
      <c r="D885" s="293"/>
      <c r="E885" s="107"/>
      <c r="F885" s="294"/>
      <c r="G885" s="295"/>
      <c r="J885" s="296"/>
      <c r="K885" s="295"/>
      <c r="M885" s="296"/>
      <c r="N885" s="295"/>
      <c r="P885" s="296"/>
      <c r="T885" s="292"/>
    </row>
    <row r="886" ht="12.75" customHeight="1">
      <c r="D886" s="293"/>
      <c r="E886" s="107"/>
      <c r="F886" s="294"/>
      <c r="G886" s="295"/>
      <c r="J886" s="296"/>
      <c r="K886" s="295"/>
      <c r="M886" s="296"/>
      <c r="N886" s="295"/>
      <c r="P886" s="296"/>
      <c r="T886" s="292"/>
    </row>
    <row r="887" ht="12.75" customHeight="1">
      <c r="D887" s="293"/>
      <c r="E887" s="107"/>
      <c r="F887" s="294"/>
      <c r="G887" s="295"/>
      <c r="J887" s="296"/>
      <c r="K887" s="295"/>
      <c r="M887" s="296"/>
      <c r="N887" s="295"/>
      <c r="P887" s="296"/>
      <c r="T887" s="292"/>
    </row>
    <row r="888" ht="12.75" customHeight="1">
      <c r="D888" s="293"/>
      <c r="E888" s="107"/>
      <c r="F888" s="294"/>
      <c r="G888" s="295"/>
      <c r="J888" s="296"/>
      <c r="K888" s="295"/>
      <c r="M888" s="296"/>
      <c r="N888" s="295"/>
      <c r="P888" s="296"/>
      <c r="T888" s="292"/>
    </row>
    <row r="889" ht="12.75" customHeight="1">
      <c r="D889" s="293"/>
      <c r="E889" s="107"/>
      <c r="F889" s="294"/>
      <c r="G889" s="295"/>
      <c r="J889" s="296"/>
      <c r="K889" s="295"/>
      <c r="M889" s="296"/>
      <c r="N889" s="295"/>
      <c r="P889" s="296"/>
      <c r="T889" s="292"/>
    </row>
    <row r="890" ht="12.75" customHeight="1">
      <c r="D890" s="293"/>
      <c r="E890" s="107"/>
      <c r="F890" s="294"/>
      <c r="G890" s="295"/>
      <c r="J890" s="296"/>
      <c r="K890" s="295"/>
      <c r="M890" s="296"/>
      <c r="N890" s="295"/>
      <c r="P890" s="296"/>
      <c r="T890" s="292"/>
    </row>
    <row r="891" ht="12.75" customHeight="1">
      <c r="D891" s="293"/>
      <c r="E891" s="107"/>
      <c r="F891" s="294"/>
      <c r="G891" s="295"/>
      <c r="J891" s="296"/>
      <c r="K891" s="295"/>
      <c r="M891" s="296"/>
      <c r="N891" s="295"/>
      <c r="P891" s="296"/>
      <c r="T891" s="292"/>
    </row>
    <row r="892" ht="12.75" customHeight="1">
      <c r="D892" s="293"/>
      <c r="E892" s="107"/>
      <c r="F892" s="294"/>
      <c r="G892" s="295"/>
      <c r="J892" s="296"/>
      <c r="K892" s="295"/>
      <c r="M892" s="296"/>
      <c r="N892" s="295"/>
      <c r="P892" s="296"/>
      <c r="T892" s="292"/>
    </row>
    <row r="893" ht="12.75" customHeight="1">
      <c r="D893" s="293"/>
      <c r="E893" s="107"/>
      <c r="F893" s="294"/>
      <c r="G893" s="295"/>
      <c r="J893" s="296"/>
      <c r="K893" s="295"/>
      <c r="M893" s="296"/>
      <c r="N893" s="295"/>
      <c r="P893" s="296"/>
      <c r="T893" s="292"/>
    </row>
    <row r="894" ht="12.75" customHeight="1">
      <c r="D894" s="293"/>
      <c r="E894" s="107"/>
      <c r="F894" s="294"/>
      <c r="G894" s="295"/>
      <c r="J894" s="296"/>
      <c r="K894" s="295"/>
      <c r="M894" s="296"/>
      <c r="N894" s="295"/>
      <c r="P894" s="296"/>
      <c r="T894" s="292"/>
    </row>
    <row r="895" ht="12.75" customHeight="1">
      <c r="D895" s="293"/>
      <c r="E895" s="107"/>
      <c r="F895" s="294"/>
      <c r="G895" s="295"/>
      <c r="J895" s="296"/>
      <c r="K895" s="295"/>
      <c r="M895" s="296"/>
      <c r="N895" s="295"/>
      <c r="P895" s="296"/>
      <c r="T895" s="292"/>
    </row>
    <row r="896" ht="12.75" customHeight="1">
      <c r="D896" s="293"/>
      <c r="E896" s="107"/>
      <c r="F896" s="294"/>
      <c r="G896" s="295"/>
      <c r="J896" s="296"/>
      <c r="K896" s="295"/>
      <c r="M896" s="296"/>
      <c r="N896" s="295"/>
      <c r="P896" s="296"/>
      <c r="T896" s="292"/>
    </row>
    <row r="897" ht="12.75" customHeight="1">
      <c r="D897" s="293"/>
      <c r="E897" s="107"/>
      <c r="F897" s="294"/>
      <c r="G897" s="295"/>
      <c r="J897" s="296"/>
      <c r="K897" s="295"/>
      <c r="M897" s="296"/>
      <c r="N897" s="295"/>
      <c r="P897" s="296"/>
      <c r="T897" s="292"/>
    </row>
    <row r="898" ht="12.75" customHeight="1">
      <c r="D898" s="293"/>
      <c r="E898" s="107"/>
      <c r="F898" s="294"/>
      <c r="G898" s="295"/>
      <c r="J898" s="296"/>
      <c r="K898" s="295"/>
      <c r="M898" s="296"/>
      <c r="N898" s="295"/>
      <c r="P898" s="296"/>
      <c r="T898" s="292"/>
    </row>
    <row r="899" ht="12.75" customHeight="1">
      <c r="D899" s="293"/>
      <c r="E899" s="107"/>
      <c r="F899" s="294"/>
      <c r="G899" s="295"/>
      <c r="J899" s="296"/>
      <c r="K899" s="295"/>
      <c r="M899" s="296"/>
      <c r="N899" s="295"/>
      <c r="P899" s="296"/>
      <c r="T899" s="292"/>
    </row>
    <row r="900" ht="12.75" customHeight="1">
      <c r="D900" s="293"/>
      <c r="E900" s="107"/>
      <c r="F900" s="294"/>
      <c r="G900" s="295"/>
      <c r="J900" s="296"/>
      <c r="K900" s="295"/>
      <c r="M900" s="296"/>
      <c r="N900" s="295"/>
      <c r="P900" s="296"/>
      <c r="T900" s="292"/>
    </row>
    <row r="901" ht="12.75" customHeight="1">
      <c r="D901" s="293"/>
      <c r="E901" s="107"/>
      <c r="F901" s="294"/>
      <c r="G901" s="295"/>
      <c r="J901" s="296"/>
      <c r="K901" s="295"/>
      <c r="M901" s="296"/>
      <c r="N901" s="295"/>
      <c r="P901" s="296"/>
      <c r="T901" s="292"/>
    </row>
    <row r="902" ht="12.75" customHeight="1">
      <c r="D902" s="293"/>
      <c r="E902" s="107"/>
      <c r="F902" s="294"/>
      <c r="G902" s="295"/>
      <c r="J902" s="296"/>
      <c r="K902" s="295"/>
      <c r="M902" s="296"/>
      <c r="N902" s="295"/>
      <c r="P902" s="296"/>
      <c r="T902" s="292"/>
    </row>
    <row r="903" ht="12.75" customHeight="1">
      <c r="D903" s="293"/>
      <c r="E903" s="107"/>
      <c r="F903" s="294"/>
      <c r="G903" s="295"/>
      <c r="J903" s="296"/>
      <c r="K903" s="295"/>
      <c r="M903" s="296"/>
      <c r="N903" s="295"/>
      <c r="P903" s="296"/>
      <c r="T903" s="292"/>
    </row>
    <row r="904" ht="12.75" customHeight="1">
      <c r="D904" s="293"/>
      <c r="E904" s="107"/>
      <c r="F904" s="294"/>
      <c r="G904" s="295"/>
      <c r="J904" s="296"/>
      <c r="K904" s="295"/>
      <c r="M904" s="296"/>
      <c r="N904" s="295"/>
      <c r="P904" s="296"/>
      <c r="T904" s="292"/>
    </row>
    <row r="905" ht="12.75" customHeight="1">
      <c r="D905" s="293"/>
      <c r="E905" s="107"/>
      <c r="F905" s="294"/>
      <c r="G905" s="295"/>
      <c r="J905" s="296"/>
      <c r="K905" s="295"/>
      <c r="M905" s="296"/>
      <c r="N905" s="295"/>
      <c r="P905" s="296"/>
      <c r="T905" s="292"/>
    </row>
    <row r="906" ht="12.75" customHeight="1">
      <c r="D906" s="293"/>
      <c r="E906" s="107"/>
      <c r="F906" s="294"/>
      <c r="G906" s="295"/>
      <c r="J906" s="296"/>
      <c r="K906" s="295"/>
      <c r="M906" s="296"/>
      <c r="N906" s="295"/>
      <c r="P906" s="296"/>
      <c r="T906" s="292"/>
    </row>
    <row r="907" ht="12.75" customHeight="1">
      <c r="D907" s="293"/>
      <c r="E907" s="107"/>
      <c r="F907" s="294"/>
      <c r="G907" s="295"/>
      <c r="J907" s="296"/>
      <c r="K907" s="295"/>
      <c r="M907" s="296"/>
      <c r="N907" s="295"/>
      <c r="P907" s="296"/>
      <c r="T907" s="292"/>
    </row>
    <row r="908" ht="12.75" customHeight="1">
      <c r="D908" s="293"/>
      <c r="E908" s="107"/>
      <c r="F908" s="294"/>
      <c r="G908" s="295"/>
      <c r="J908" s="296"/>
      <c r="K908" s="295"/>
      <c r="M908" s="296"/>
      <c r="N908" s="295"/>
      <c r="P908" s="296"/>
      <c r="T908" s="292"/>
    </row>
    <row r="909" ht="12.75" customHeight="1">
      <c r="D909" s="293"/>
      <c r="E909" s="107"/>
      <c r="F909" s="294"/>
      <c r="G909" s="295"/>
      <c r="J909" s="296"/>
      <c r="K909" s="295"/>
      <c r="M909" s="296"/>
      <c r="N909" s="295"/>
      <c r="P909" s="296"/>
      <c r="T909" s="292"/>
    </row>
    <row r="910" ht="12.75" customHeight="1">
      <c r="D910" s="293"/>
      <c r="E910" s="107"/>
      <c r="F910" s="294"/>
      <c r="G910" s="295"/>
      <c r="J910" s="296"/>
      <c r="K910" s="295"/>
      <c r="M910" s="296"/>
      <c r="N910" s="295"/>
      <c r="P910" s="296"/>
      <c r="T910" s="292"/>
    </row>
    <row r="911" ht="12.75" customHeight="1">
      <c r="D911" s="293"/>
      <c r="E911" s="107"/>
      <c r="F911" s="294"/>
      <c r="G911" s="295"/>
      <c r="J911" s="296"/>
      <c r="K911" s="295"/>
      <c r="M911" s="296"/>
      <c r="N911" s="295"/>
      <c r="P911" s="296"/>
      <c r="T911" s="292"/>
    </row>
    <row r="912" ht="12.75" customHeight="1">
      <c r="D912" s="293"/>
      <c r="E912" s="107"/>
      <c r="F912" s="294"/>
      <c r="G912" s="295"/>
      <c r="J912" s="296"/>
      <c r="K912" s="295"/>
      <c r="M912" s="296"/>
      <c r="N912" s="295"/>
      <c r="P912" s="296"/>
      <c r="T912" s="292"/>
    </row>
    <row r="913" ht="12.75" customHeight="1">
      <c r="D913" s="293"/>
      <c r="E913" s="107"/>
      <c r="F913" s="294"/>
      <c r="G913" s="295"/>
      <c r="J913" s="296"/>
      <c r="K913" s="295"/>
      <c r="M913" s="296"/>
      <c r="N913" s="295"/>
      <c r="P913" s="296"/>
      <c r="T913" s="292"/>
    </row>
    <row r="914" ht="12.75" customHeight="1">
      <c r="D914" s="293"/>
      <c r="E914" s="107"/>
      <c r="F914" s="294"/>
      <c r="G914" s="295"/>
      <c r="J914" s="296"/>
      <c r="K914" s="295"/>
      <c r="M914" s="296"/>
      <c r="N914" s="295"/>
      <c r="P914" s="296"/>
      <c r="T914" s="292"/>
    </row>
    <row r="915" ht="12.75" customHeight="1">
      <c r="D915" s="293"/>
      <c r="E915" s="107"/>
      <c r="F915" s="294"/>
      <c r="G915" s="295"/>
      <c r="J915" s="296"/>
      <c r="K915" s="295"/>
      <c r="M915" s="296"/>
      <c r="N915" s="295"/>
      <c r="P915" s="296"/>
      <c r="T915" s="292"/>
    </row>
    <row r="916" ht="12.75" customHeight="1">
      <c r="D916" s="293"/>
      <c r="E916" s="107"/>
      <c r="F916" s="294"/>
      <c r="G916" s="295"/>
      <c r="J916" s="296"/>
      <c r="K916" s="295"/>
      <c r="M916" s="296"/>
      <c r="N916" s="295"/>
      <c r="P916" s="296"/>
      <c r="T916" s="292"/>
    </row>
    <row r="917" ht="12.75" customHeight="1">
      <c r="D917" s="293"/>
      <c r="E917" s="107"/>
      <c r="F917" s="294"/>
      <c r="G917" s="295"/>
      <c r="J917" s="296"/>
      <c r="K917" s="295"/>
      <c r="M917" s="296"/>
      <c r="N917" s="295"/>
      <c r="P917" s="296"/>
      <c r="T917" s="292"/>
    </row>
    <row r="918" ht="12.75" customHeight="1">
      <c r="D918" s="293"/>
      <c r="E918" s="107"/>
      <c r="F918" s="294"/>
      <c r="G918" s="295"/>
      <c r="J918" s="296"/>
      <c r="K918" s="295"/>
      <c r="M918" s="296"/>
      <c r="N918" s="295"/>
      <c r="P918" s="296"/>
      <c r="T918" s="292"/>
    </row>
    <row r="919" ht="12.75" customHeight="1">
      <c r="D919" s="293"/>
      <c r="E919" s="107"/>
      <c r="F919" s="294"/>
      <c r="G919" s="295"/>
      <c r="J919" s="296"/>
      <c r="K919" s="295"/>
      <c r="M919" s="296"/>
      <c r="N919" s="295"/>
      <c r="P919" s="296"/>
      <c r="T919" s="292"/>
    </row>
    <row r="920" ht="12.75" customHeight="1">
      <c r="D920" s="293"/>
      <c r="E920" s="107"/>
      <c r="F920" s="294"/>
      <c r="G920" s="295"/>
      <c r="J920" s="296"/>
      <c r="K920" s="295"/>
      <c r="M920" s="296"/>
      <c r="N920" s="295"/>
      <c r="P920" s="296"/>
      <c r="T920" s="292"/>
    </row>
    <row r="921" ht="12.75" customHeight="1">
      <c r="D921" s="293"/>
      <c r="E921" s="107"/>
      <c r="F921" s="294"/>
      <c r="G921" s="295"/>
      <c r="J921" s="296"/>
      <c r="K921" s="295"/>
      <c r="M921" s="296"/>
      <c r="N921" s="295"/>
      <c r="P921" s="296"/>
      <c r="T921" s="292"/>
    </row>
    <row r="922" ht="12.75" customHeight="1">
      <c r="D922" s="293"/>
      <c r="E922" s="107"/>
      <c r="F922" s="294"/>
      <c r="G922" s="295"/>
      <c r="J922" s="296"/>
      <c r="K922" s="295"/>
      <c r="M922" s="296"/>
      <c r="N922" s="295"/>
      <c r="P922" s="296"/>
      <c r="T922" s="292"/>
    </row>
    <row r="923" ht="12.75" customHeight="1">
      <c r="D923" s="293"/>
      <c r="E923" s="107"/>
      <c r="F923" s="294"/>
      <c r="G923" s="295"/>
      <c r="J923" s="296"/>
      <c r="K923" s="295"/>
      <c r="M923" s="296"/>
      <c r="N923" s="295"/>
      <c r="P923" s="296"/>
      <c r="T923" s="292"/>
    </row>
    <row r="924" ht="12.75" customHeight="1">
      <c r="D924" s="293"/>
      <c r="E924" s="107"/>
      <c r="F924" s="294"/>
      <c r="G924" s="295"/>
      <c r="J924" s="296"/>
      <c r="K924" s="295"/>
      <c r="M924" s="296"/>
      <c r="N924" s="295"/>
      <c r="P924" s="296"/>
      <c r="T924" s="292"/>
    </row>
    <row r="925" ht="12.75" customHeight="1">
      <c r="D925" s="293"/>
      <c r="E925" s="107"/>
      <c r="F925" s="294"/>
      <c r="G925" s="295"/>
      <c r="J925" s="296"/>
      <c r="K925" s="295"/>
      <c r="M925" s="296"/>
      <c r="N925" s="295"/>
      <c r="P925" s="296"/>
      <c r="T925" s="292"/>
    </row>
    <row r="926" ht="12.75" customHeight="1">
      <c r="D926" s="293"/>
      <c r="E926" s="107"/>
      <c r="F926" s="294"/>
      <c r="G926" s="295"/>
      <c r="J926" s="296"/>
      <c r="K926" s="295"/>
      <c r="M926" s="296"/>
      <c r="N926" s="295"/>
      <c r="P926" s="296"/>
      <c r="T926" s="292"/>
    </row>
    <row r="927" ht="12.75" customHeight="1">
      <c r="D927" s="293"/>
      <c r="E927" s="107"/>
      <c r="F927" s="294"/>
      <c r="G927" s="295"/>
      <c r="J927" s="296"/>
      <c r="K927" s="295"/>
      <c r="M927" s="296"/>
      <c r="N927" s="295"/>
      <c r="P927" s="296"/>
      <c r="T927" s="292"/>
    </row>
    <row r="928" ht="12.75" customHeight="1">
      <c r="D928" s="293"/>
      <c r="E928" s="107"/>
      <c r="F928" s="294"/>
      <c r="G928" s="295"/>
      <c r="J928" s="296"/>
      <c r="K928" s="295"/>
      <c r="M928" s="296"/>
      <c r="N928" s="295"/>
      <c r="P928" s="296"/>
      <c r="T928" s="292"/>
    </row>
    <row r="929" ht="12.75" customHeight="1">
      <c r="D929" s="293"/>
      <c r="E929" s="107"/>
      <c r="F929" s="294"/>
      <c r="G929" s="295"/>
      <c r="J929" s="296"/>
      <c r="K929" s="295"/>
      <c r="M929" s="296"/>
      <c r="N929" s="295"/>
      <c r="P929" s="296"/>
      <c r="T929" s="292"/>
    </row>
    <row r="930" ht="12.75" customHeight="1">
      <c r="D930" s="293"/>
      <c r="E930" s="107"/>
      <c r="F930" s="294"/>
      <c r="G930" s="295"/>
      <c r="J930" s="296"/>
      <c r="K930" s="295"/>
      <c r="M930" s="296"/>
      <c r="N930" s="295"/>
      <c r="P930" s="296"/>
      <c r="T930" s="292"/>
    </row>
    <row r="931" ht="12.75" customHeight="1">
      <c r="D931" s="293"/>
      <c r="E931" s="107"/>
      <c r="F931" s="294"/>
      <c r="G931" s="295"/>
      <c r="J931" s="296"/>
      <c r="K931" s="295"/>
      <c r="M931" s="296"/>
      <c r="N931" s="295"/>
      <c r="P931" s="296"/>
      <c r="T931" s="292"/>
    </row>
    <row r="932" ht="12.75" customHeight="1">
      <c r="D932" s="293"/>
      <c r="E932" s="107"/>
      <c r="F932" s="294"/>
      <c r="G932" s="295"/>
      <c r="J932" s="296"/>
      <c r="K932" s="295"/>
      <c r="M932" s="296"/>
      <c r="N932" s="295"/>
      <c r="P932" s="296"/>
      <c r="T932" s="292"/>
    </row>
    <row r="933" ht="12.75" customHeight="1">
      <c r="D933" s="293"/>
      <c r="E933" s="107"/>
      <c r="F933" s="294"/>
      <c r="G933" s="295"/>
      <c r="J933" s="296"/>
      <c r="K933" s="295"/>
      <c r="M933" s="296"/>
      <c r="N933" s="295"/>
      <c r="P933" s="296"/>
      <c r="T933" s="292"/>
    </row>
    <row r="934" ht="12.75" customHeight="1">
      <c r="D934" s="293"/>
      <c r="E934" s="107"/>
      <c r="F934" s="294"/>
      <c r="G934" s="295"/>
      <c r="J934" s="296"/>
      <c r="K934" s="295"/>
      <c r="M934" s="296"/>
      <c r="N934" s="295"/>
      <c r="P934" s="296"/>
      <c r="T934" s="292"/>
    </row>
    <row r="935" ht="12.75" customHeight="1">
      <c r="D935" s="293"/>
      <c r="E935" s="107"/>
      <c r="F935" s="294"/>
      <c r="G935" s="295"/>
      <c r="J935" s="296"/>
      <c r="K935" s="295"/>
      <c r="M935" s="296"/>
      <c r="N935" s="295"/>
      <c r="P935" s="296"/>
      <c r="T935" s="292"/>
    </row>
    <row r="936" ht="12.75" customHeight="1">
      <c r="D936" s="293"/>
      <c r="E936" s="107"/>
      <c r="F936" s="294"/>
      <c r="G936" s="295"/>
      <c r="J936" s="296"/>
      <c r="K936" s="295"/>
      <c r="M936" s="296"/>
      <c r="N936" s="295"/>
      <c r="P936" s="296"/>
      <c r="T936" s="292"/>
    </row>
    <row r="937" ht="12.75" customHeight="1">
      <c r="D937" s="293"/>
      <c r="E937" s="107"/>
      <c r="F937" s="294"/>
      <c r="G937" s="295"/>
      <c r="J937" s="296"/>
      <c r="K937" s="295"/>
      <c r="M937" s="296"/>
      <c r="N937" s="295"/>
      <c r="P937" s="296"/>
      <c r="T937" s="292"/>
    </row>
    <row r="938" ht="12.75" customHeight="1">
      <c r="D938" s="293"/>
      <c r="E938" s="107"/>
      <c r="F938" s="294"/>
      <c r="G938" s="295"/>
      <c r="J938" s="296"/>
      <c r="K938" s="295"/>
      <c r="M938" s="296"/>
      <c r="N938" s="295"/>
      <c r="P938" s="296"/>
      <c r="T938" s="292"/>
    </row>
    <row r="939" ht="12.75" customHeight="1">
      <c r="D939" s="293"/>
      <c r="E939" s="107"/>
      <c r="F939" s="294"/>
      <c r="G939" s="295"/>
      <c r="J939" s="296"/>
      <c r="K939" s="295"/>
      <c r="M939" s="296"/>
      <c r="N939" s="295"/>
      <c r="P939" s="296"/>
      <c r="T939" s="292"/>
    </row>
    <row r="940" ht="12.75" customHeight="1">
      <c r="D940" s="293"/>
      <c r="E940" s="107"/>
      <c r="F940" s="294"/>
      <c r="G940" s="295"/>
      <c r="J940" s="296"/>
      <c r="K940" s="295"/>
      <c r="M940" s="296"/>
      <c r="N940" s="295"/>
      <c r="P940" s="296"/>
      <c r="T940" s="292"/>
    </row>
    <row r="941" ht="12.75" customHeight="1">
      <c r="D941" s="293"/>
      <c r="E941" s="107"/>
      <c r="F941" s="294"/>
      <c r="G941" s="295"/>
      <c r="J941" s="296"/>
      <c r="K941" s="295"/>
      <c r="M941" s="296"/>
      <c r="N941" s="295"/>
      <c r="P941" s="296"/>
      <c r="T941" s="292"/>
    </row>
    <row r="942" ht="12.75" customHeight="1">
      <c r="D942" s="293"/>
      <c r="E942" s="107"/>
      <c r="F942" s="294"/>
      <c r="G942" s="295"/>
      <c r="J942" s="296"/>
      <c r="K942" s="295"/>
      <c r="M942" s="296"/>
      <c r="N942" s="295"/>
      <c r="P942" s="296"/>
      <c r="T942" s="292"/>
    </row>
    <row r="943" ht="12.75" customHeight="1">
      <c r="D943" s="293"/>
      <c r="E943" s="107"/>
      <c r="F943" s="294"/>
      <c r="G943" s="295"/>
      <c r="J943" s="296"/>
      <c r="K943" s="295"/>
      <c r="M943" s="296"/>
      <c r="N943" s="295"/>
      <c r="P943" s="296"/>
      <c r="T943" s="292"/>
    </row>
    <row r="944" ht="12.75" customHeight="1">
      <c r="D944" s="293"/>
      <c r="E944" s="107"/>
      <c r="F944" s="294"/>
      <c r="G944" s="295"/>
      <c r="J944" s="296"/>
      <c r="K944" s="295"/>
      <c r="M944" s="296"/>
      <c r="N944" s="295"/>
      <c r="P944" s="296"/>
      <c r="T944" s="292"/>
    </row>
    <row r="945" ht="12.75" customHeight="1">
      <c r="D945" s="293"/>
      <c r="E945" s="107"/>
      <c r="F945" s="294"/>
      <c r="G945" s="295"/>
      <c r="J945" s="296"/>
      <c r="K945" s="295"/>
      <c r="M945" s="296"/>
      <c r="N945" s="295"/>
      <c r="P945" s="296"/>
      <c r="T945" s="292"/>
    </row>
    <row r="946" ht="12.75" customHeight="1">
      <c r="D946" s="293"/>
      <c r="E946" s="107"/>
      <c r="F946" s="294"/>
      <c r="G946" s="295"/>
      <c r="J946" s="296"/>
      <c r="K946" s="295"/>
      <c r="M946" s="296"/>
      <c r="N946" s="295"/>
      <c r="P946" s="296"/>
      <c r="T946" s="292"/>
    </row>
    <row r="947" ht="12.75" customHeight="1">
      <c r="D947" s="293"/>
      <c r="E947" s="107"/>
      <c r="F947" s="294"/>
      <c r="G947" s="295"/>
      <c r="J947" s="296"/>
      <c r="K947" s="295"/>
      <c r="M947" s="296"/>
      <c r="N947" s="295"/>
      <c r="P947" s="296"/>
      <c r="T947" s="292"/>
    </row>
    <row r="948" ht="12.75" customHeight="1">
      <c r="D948" s="293"/>
      <c r="E948" s="107"/>
      <c r="F948" s="294"/>
      <c r="G948" s="295"/>
      <c r="J948" s="296"/>
      <c r="K948" s="295"/>
      <c r="M948" s="296"/>
      <c r="N948" s="295"/>
      <c r="P948" s="296"/>
      <c r="T948" s="292"/>
    </row>
    <row r="949" ht="12.75" customHeight="1">
      <c r="D949" s="293"/>
      <c r="E949" s="107"/>
      <c r="F949" s="294"/>
      <c r="G949" s="295"/>
      <c r="J949" s="296"/>
      <c r="K949" s="295"/>
      <c r="M949" s="296"/>
      <c r="N949" s="295"/>
      <c r="P949" s="296"/>
      <c r="T949" s="292"/>
    </row>
    <row r="950" ht="12.75" customHeight="1">
      <c r="D950" s="293"/>
      <c r="E950" s="107"/>
      <c r="F950" s="294"/>
      <c r="G950" s="295"/>
      <c r="J950" s="296"/>
      <c r="K950" s="295"/>
      <c r="M950" s="296"/>
      <c r="N950" s="295"/>
      <c r="P950" s="296"/>
      <c r="T950" s="292"/>
    </row>
    <row r="951" ht="12.75" customHeight="1">
      <c r="D951" s="293"/>
      <c r="E951" s="107"/>
      <c r="F951" s="294"/>
      <c r="G951" s="295"/>
      <c r="J951" s="296"/>
      <c r="K951" s="295"/>
      <c r="M951" s="296"/>
      <c r="N951" s="295"/>
      <c r="P951" s="296"/>
      <c r="T951" s="292"/>
    </row>
    <row r="952" ht="12.75" customHeight="1">
      <c r="D952" s="293"/>
      <c r="E952" s="107"/>
      <c r="F952" s="294"/>
      <c r="G952" s="295"/>
      <c r="J952" s="296"/>
      <c r="K952" s="295"/>
      <c r="M952" s="296"/>
      <c r="N952" s="295"/>
      <c r="P952" s="296"/>
      <c r="T952" s="292"/>
    </row>
    <row r="953" ht="12.75" customHeight="1">
      <c r="D953" s="293"/>
      <c r="E953" s="107"/>
      <c r="F953" s="294"/>
      <c r="G953" s="295"/>
      <c r="J953" s="296"/>
      <c r="K953" s="295"/>
      <c r="M953" s="296"/>
      <c r="N953" s="295"/>
      <c r="P953" s="296"/>
      <c r="T953" s="292"/>
    </row>
    <row r="954" ht="12.75" customHeight="1">
      <c r="D954" s="293"/>
      <c r="E954" s="107"/>
      <c r="F954" s="294"/>
      <c r="G954" s="295"/>
      <c r="J954" s="296"/>
      <c r="K954" s="295"/>
      <c r="M954" s="296"/>
      <c r="N954" s="295"/>
      <c r="P954" s="296"/>
      <c r="T954" s="292"/>
    </row>
    <row r="955" ht="12.75" customHeight="1">
      <c r="D955" s="293"/>
      <c r="E955" s="107"/>
      <c r="F955" s="294"/>
      <c r="G955" s="295"/>
      <c r="J955" s="296"/>
      <c r="K955" s="295"/>
      <c r="M955" s="296"/>
      <c r="N955" s="295"/>
      <c r="P955" s="296"/>
      <c r="T955" s="292"/>
    </row>
    <row r="956" ht="12.75" customHeight="1">
      <c r="D956" s="293"/>
      <c r="E956" s="107"/>
      <c r="F956" s="294"/>
      <c r="G956" s="295"/>
      <c r="J956" s="296"/>
      <c r="K956" s="295"/>
      <c r="M956" s="296"/>
      <c r="N956" s="295"/>
      <c r="P956" s="296"/>
      <c r="T956" s="292"/>
    </row>
    <row r="957" ht="12.75" customHeight="1">
      <c r="D957" s="293"/>
      <c r="E957" s="107"/>
      <c r="F957" s="294"/>
      <c r="G957" s="295"/>
      <c r="J957" s="296"/>
      <c r="K957" s="295"/>
      <c r="M957" s="296"/>
      <c r="N957" s="295"/>
      <c r="P957" s="296"/>
      <c r="T957" s="292"/>
    </row>
    <row r="958" ht="12.75" customHeight="1">
      <c r="D958" s="293"/>
      <c r="E958" s="107"/>
      <c r="F958" s="294"/>
      <c r="G958" s="295"/>
      <c r="J958" s="296"/>
      <c r="K958" s="295"/>
      <c r="M958" s="296"/>
      <c r="N958" s="295"/>
      <c r="P958" s="296"/>
      <c r="T958" s="292"/>
    </row>
    <row r="959" ht="12.75" customHeight="1">
      <c r="D959" s="293"/>
      <c r="E959" s="107"/>
      <c r="F959" s="294"/>
      <c r="G959" s="295"/>
      <c r="J959" s="296"/>
      <c r="K959" s="295"/>
      <c r="M959" s="296"/>
      <c r="N959" s="295"/>
      <c r="P959" s="296"/>
      <c r="T959" s="292"/>
    </row>
    <row r="960" ht="12.75" customHeight="1">
      <c r="D960" s="293"/>
      <c r="E960" s="107"/>
      <c r="F960" s="294"/>
      <c r="G960" s="295"/>
      <c r="J960" s="296"/>
      <c r="K960" s="295"/>
      <c r="M960" s="296"/>
      <c r="N960" s="295"/>
      <c r="P960" s="296"/>
      <c r="T960" s="292"/>
    </row>
    <row r="961" ht="12.75" customHeight="1">
      <c r="D961" s="293"/>
      <c r="E961" s="107"/>
      <c r="F961" s="294"/>
      <c r="G961" s="295"/>
      <c r="J961" s="296"/>
      <c r="K961" s="295"/>
      <c r="M961" s="296"/>
      <c r="N961" s="295"/>
      <c r="P961" s="296"/>
      <c r="T961" s="292"/>
    </row>
    <row r="962" ht="12.75" customHeight="1">
      <c r="D962" s="293"/>
      <c r="E962" s="107"/>
      <c r="F962" s="294"/>
      <c r="G962" s="295"/>
      <c r="J962" s="296"/>
      <c r="K962" s="295"/>
      <c r="M962" s="296"/>
      <c r="N962" s="295"/>
      <c r="P962" s="296"/>
      <c r="T962" s="292"/>
    </row>
    <row r="963" ht="12.75" customHeight="1">
      <c r="D963" s="293"/>
      <c r="E963" s="107"/>
      <c r="F963" s="294"/>
      <c r="G963" s="295"/>
      <c r="J963" s="296"/>
      <c r="K963" s="295"/>
      <c r="M963" s="296"/>
      <c r="N963" s="295"/>
      <c r="P963" s="296"/>
      <c r="T963" s="292"/>
    </row>
    <row r="964" ht="12.75" customHeight="1">
      <c r="D964" s="293"/>
      <c r="E964" s="107"/>
      <c r="F964" s="294"/>
      <c r="G964" s="295"/>
      <c r="J964" s="296"/>
      <c r="K964" s="295"/>
      <c r="M964" s="296"/>
      <c r="N964" s="295"/>
      <c r="P964" s="296"/>
      <c r="T964" s="292"/>
    </row>
    <row r="965" ht="12.75" customHeight="1">
      <c r="D965" s="293"/>
      <c r="E965" s="107"/>
      <c r="F965" s="294"/>
      <c r="G965" s="295"/>
      <c r="J965" s="296"/>
      <c r="K965" s="295"/>
      <c r="M965" s="296"/>
      <c r="N965" s="295"/>
      <c r="P965" s="296"/>
      <c r="T965" s="292"/>
    </row>
    <row r="966" ht="12.75" customHeight="1">
      <c r="D966" s="293"/>
      <c r="E966" s="107"/>
      <c r="F966" s="294"/>
      <c r="G966" s="295"/>
      <c r="J966" s="296"/>
      <c r="K966" s="295"/>
      <c r="M966" s="296"/>
      <c r="N966" s="295"/>
      <c r="P966" s="296"/>
      <c r="T966" s="292"/>
    </row>
    <row r="967" ht="12.75" customHeight="1">
      <c r="D967" s="293"/>
      <c r="E967" s="107"/>
      <c r="F967" s="294"/>
      <c r="G967" s="295"/>
      <c r="J967" s="296"/>
      <c r="K967" s="295"/>
      <c r="M967" s="296"/>
      <c r="N967" s="295"/>
      <c r="P967" s="296"/>
      <c r="T967" s="292"/>
    </row>
    <row r="968" ht="12.75" customHeight="1">
      <c r="D968" s="293"/>
      <c r="E968" s="107"/>
      <c r="F968" s="294"/>
      <c r="G968" s="295"/>
      <c r="J968" s="296"/>
      <c r="K968" s="295"/>
      <c r="M968" s="296"/>
      <c r="N968" s="295"/>
      <c r="P968" s="296"/>
      <c r="T968" s="292"/>
    </row>
    <row r="969" ht="12.75" customHeight="1">
      <c r="D969" s="293"/>
      <c r="E969" s="107"/>
      <c r="F969" s="294"/>
      <c r="G969" s="295"/>
      <c r="J969" s="296"/>
      <c r="K969" s="295"/>
      <c r="M969" s="296"/>
      <c r="N969" s="295"/>
      <c r="P969" s="296"/>
      <c r="T969" s="292"/>
    </row>
    <row r="970" ht="12.75" customHeight="1">
      <c r="D970" s="293"/>
      <c r="E970" s="107"/>
      <c r="F970" s="294"/>
      <c r="G970" s="295"/>
      <c r="J970" s="296"/>
      <c r="K970" s="295"/>
      <c r="M970" s="296"/>
      <c r="N970" s="295"/>
      <c r="P970" s="296"/>
      <c r="T970" s="292"/>
    </row>
    <row r="971" ht="12.75" customHeight="1">
      <c r="D971" s="293"/>
      <c r="E971" s="107"/>
      <c r="F971" s="294"/>
      <c r="G971" s="295"/>
      <c r="J971" s="296"/>
      <c r="K971" s="295"/>
      <c r="M971" s="296"/>
      <c r="N971" s="295"/>
      <c r="P971" s="296"/>
      <c r="T971" s="292"/>
    </row>
    <row r="972" ht="12.75" customHeight="1">
      <c r="D972" s="293"/>
      <c r="E972" s="107"/>
      <c r="F972" s="294"/>
      <c r="G972" s="295"/>
      <c r="J972" s="296"/>
      <c r="K972" s="295"/>
      <c r="M972" s="296"/>
      <c r="N972" s="295"/>
      <c r="P972" s="296"/>
      <c r="T972" s="292"/>
    </row>
    <row r="973" ht="12.75" customHeight="1">
      <c r="D973" s="293"/>
      <c r="E973" s="107"/>
      <c r="F973" s="294"/>
      <c r="G973" s="295"/>
      <c r="J973" s="296"/>
      <c r="K973" s="295"/>
      <c r="M973" s="296"/>
      <c r="N973" s="295"/>
      <c r="P973" s="296"/>
      <c r="T973" s="292"/>
    </row>
    <row r="974" ht="12.75" customHeight="1">
      <c r="D974" s="293"/>
      <c r="E974" s="107"/>
      <c r="F974" s="294"/>
      <c r="G974" s="295"/>
      <c r="J974" s="296"/>
      <c r="K974" s="295"/>
      <c r="M974" s="296"/>
      <c r="N974" s="295"/>
      <c r="P974" s="296"/>
      <c r="T974" s="292"/>
    </row>
    <row r="975" ht="12.75" customHeight="1">
      <c r="D975" s="293"/>
      <c r="E975" s="107"/>
      <c r="F975" s="294"/>
      <c r="G975" s="295"/>
      <c r="J975" s="296"/>
      <c r="K975" s="295"/>
      <c r="M975" s="296"/>
      <c r="N975" s="295"/>
      <c r="P975" s="296"/>
      <c r="T975" s="292"/>
    </row>
    <row r="976" ht="12.75" customHeight="1">
      <c r="D976" s="293"/>
      <c r="E976" s="107"/>
      <c r="F976" s="294"/>
      <c r="G976" s="295"/>
      <c r="J976" s="296"/>
      <c r="K976" s="295"/>
      <c r="M976" s="296"/>
      <c r="N976" s="295"/>
      <c r="P976" s="296"/>
      <c r="T976" s="292"/>
    </row>
    <row r="977" ht="12.75" customHeight="1">
      <c r="D977" s="293"/>
      <c r="E977" s="107"/>
      <c r="F977" s="294"/>
      <c r="G977" s="295"/>
      <c r="J977" s="296"/>
      <c r="K977" s="295"/>
      <c r="M977" s="296"/>
      <c r="N977" s="295"/>
      <c r="P977" s="296"/>
      <c r="T977" s="292"/>
    </row>
    <row r="978" ht="12.75" customHeight="1">
      <c r="D978" s="293"/>
      <c r="E978" s="107"/>
      <c r="F978" s="294"/>
      <c r="G978" s="295"/>
      <c r="J978" s="296"/>
      <c r="K978" s="295"/>
      <c r="M978" s="296"/>
      <c r="N978" s="295"/>
      <c r="P978" s="296"/>
      <c r="T978" s="292"/>
    </row>
    <row r="979" ht="12.75" customHeight="1">
      <c r="D979" s="293"/>
      <c r="E979" s="107"/>
      <c r="F979" s="294"/>
      <c r="G979" s="295"/>
      <c r="J979" s="296"/>
      <c r="K979" s="295"/>
      <c r="M979" s="296"/>
      <c r="N979" s="295"/>
      <c r="P979" s="296"/>
      <c r="T979" s="292"/>
    </row>
    <row r="980" ht="12.75" customHeight="1">
      <c r="D980" s="293"/>
      <c r="E980" s="107"/>
      <c r="F980" s="294"/>
      <c r="G980" s="295"/>
      <c r="J980" s="296"/>
      <c r="K980" s="295"/>
      <c r="M980" s="296"/>
      <c r="N980" s="295"/>
      <c r="P980" s="296"/>
      <c r="T980" s="292"/>
    </row>
    <row r="981" ht="12.75" customHeight="1">
      <c r="D981" s="293"/>
      <c r="E981" s="107"/>
      <c r="F981" s="294"/>
      <c r="G981" s="295"/>
      <c r="J981" s="296"/>
      <c r="K981" s="295"/>
      <c r="M981" s="296"/>
      <c r="N981" s="295"/>
      <c r="P981" s="296"/>
      <c r="T981" s="292"/>
    </row>
    <row r="982" ht="12.75" customHeight="1">
      <c r="D982" s="293"/>
      <c r="E982" s="107"/>
      <c r="F982" s="294"/>
      <c r="G982" s="295"/>
      <c r="J982" s="296"/>
      <c r="K982" s="295"/>
      <c r="M982" s="296"/>
      <c r="N982" s="295"/>
      <c r="P982" s="296"/>
      <c r="T982" s="292"/>
    </row>
    <row r="983" ht="12.75" customHeight="1">
      <c r="D983" s="293"/>
      <c r="E983" s="107"/>
      <c r="F983" s="294"/>
      <c r="G983" s="295"/>
      <c r="J983" s="296"/>
      <c r="K983" s="295"/>
      <c r="M983" s="296"/>
      <c r="N983" s="295"/>
      <c r="P983" s="296"/>
      <c r="T983" s="292"/>
    </row>
    <row r="984" ht="12.75" customHeight="1">
      <c r="D984" s="293"/>
      <c r="E984" s="107"/>
      <c r="F984" s="294"/>
      <c r="G984" s="295"/>
      <c r="J984" s="296"/>
      <c r="K984" s="295"/>
      <c r="M984" s="296"/>
      <c r="N984" s="295"/>
      <c r="P984" s="296"/>
      <c r="T984" s="292"/>
    </row>
    <row r="985" ht="12.75" customHeight="1">
      <c r="D985" s="293"/>
      <c r="E985" s="107"/>
      <c r="F985" s="294"/>
      <c r="G985" s="295"/>
      <c r="J985" s="296"/>
      <c r="K985" s="295"/>
      <c r="M985" s="296"/>
      <c r="N985" s="295"/>
      <c r="P985" s="296"/>
      <c r="T985" s="292"/>
    </row>
    <row r="986" ht="12.75" customHeight="1">
      <c r="D986" s="293"/>
      <c r="E986" s="107"/>
      <c r="F986" s="294"/>
      <c r="G986" s="295"/>
      <c r="J986" s="296"/>
      <c r="K986" s="295"/>
      <c r="M986" s="296"/>
      <c r="N986" s="295"/>
      <c r="P986" s="296"/>
      <c r="T986" s="292"/>
    </row>
    <row r="987" ht="12.75" customHeight="1">
      <c r="D987" s="293"/>
      <c r="E987" s="107"/>
      <c r="F987" s="294"/>
      <c r="G987" s="295"/>
      <c r="J987" s="296"/>
      <c r="K987" s="295"/>
      <c r="M987" s="296"/>
      <c r="N987" s="295"/>
      <c r="P987" s="296"/>
      <c r="T987" s="292"/>
    </row>
    <row r="988" ht="12.75" customHeight="1">
      <c r="D988" s="293"/>
      <c r="E988" s="107"/>
      <c r="F988" s="294"/>
      <c r="G988" s="295"/>
      <c r="J988" s="296"/>
      <c r="K988" s="295"/>
      <c r="M988" s="296"/>
      <c r="N988" s="295"/>
      <c r="P988" s="296"/>
      <c r="T988" s="292"/>
    </row>
    <row r="989" ht="12.75" customHeight="1">
      <c r="D989" s="293"/>
      <c r="E989" s="107"/>
      <c r="F989" s="294"/>
      <c r="G989" s="295"/>
      <c r="J989" s="296"/>
      <c r="K989" s="295"/>
      <c r="M989" s="296"/>
      <c r="N989" s="295"/>
      <c r="P989" s="296"/>
      <c r="T989" s="292"/>
    </row>
    <row r="990" ht="12.75" customHeight="1">
      <c r="D990" s="293"/>
      <c r="E990" s="107"/>
      <c r="F990" s="294"/>
      <c r="G990" s="295"/>
      <c r="J990" s="296"/>
      <c r="K990" s="295"/>
      <c r="M990" s="296"/>
      <c r="N990" s="295"/>
      <c r="P990" s="296"/>
      <c r="T990" s="292"/>
    </row>
    <row r="991" ht="12.75" customHeight="1">
      <c r="D991" s="293"/>
      <c r="E991" s="107"/>
      <c r="F991" s="294"/>
      <c r="G991" s="295"/>
      <c r="J991" s="296"/>
      <c r="K991" s="295"/>
      <c r="M991" s="296"/>
      <c r="N991" s="295"/>
      <c r="P991" s="296"/>
      <c r="T991" s="292"/>
    </row>
    <row r="992">
      <c r="E992" s="299"/>
      <c r="F992" s="294"/>
      <c r="G992" s="295"/>
      <c r="J992" s="296"/>
      <c r="K992" s="295"/>
      <c r="M992" s="296"/>
      <c r="N992" s="295"/>
      <c r="P992" s="296"/>
    </row>
  </sheetData>
  <autoFilter ref="$A$3:$T$100"/>
  <mergeCells count="4">
    <mergeCell ref="E2:F2"/>
    <mergeCell ref="G2:J2"/>
    <mergeCell ref="K2:M2"/>
    <mergeCell ref="N2:P2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25"/>
    <col customWidth="1" min="2" max="2" width="6.63"/>
    <col customWidth="1" min="3" max="3" width="20.0"/>
    <col customWidth="1" min="4" max="4" width="7.25"/>
    <col customWidth="1" min="5" max="5" width="20.0"/>
    <col customWidth="1" min="6" max="6" width="11.0"/>
    <col customWidth="1" min="7" max="7" width="6.88"/>
    <col customWidth="1" min="8" max="8" width="10.0"/>
    <col customWidth="1" min="9" max="9" width="9.63"/>
    <col customWidth="1" min="10" max="10" width="10.63"/>
    <col customWidth="1" min="11" max="11" width="6.5"/>
    <col customWidth="1" min="12" max="12" width="10.5"/>
    <col customWidth="1" min="13" max="13" width="10.63"/>
    <col customWidth="1" min="14" max="14" width="7.5"/>
    <col customWidth="1" min="15" max="15" width="10.13"/>
    <col customWidth="1" min="16" max="16" width="10.25"/>
    <col customWidth="1" min="18" max="18" width="5.75"/>
    <col customWidth="1" min="19" max="19" width="13.63"/>
    <col customWidth="1" min="20" max="20" width="12.88"/>
    <col customWidth="1" min="21" max="21" width="13.5"/>
    <col customWidth="1" min="22" max="22" width="11.75"/>
    <col customWidth="1" min="23" max="33" width="10.0"/>
  </cols>
  <sheetData>
    <row r="1" ht="15.75" customHeight="1">
      <c r="A1" s="1" t="s">
        <v>0</v>
      </c>
      <c r="B1" s="1"/>
      <c r="C1" s="1"/>
      <c r="D1" s="1"/>
      <c r="E1" s="2"/>
      <c r="F1" s="2"/>
      <c r="G1" s="3"/>
      <c r="H1" s="1"/>
      <c r="I1" s="1"/>
      <c r="J1" s="1"/>
      <c r="K1" s="3"/>
      <c r="L1" s="1"/>
      <c r="M1" s="1"/>
      <c r="N1" s="3"/>
      <c r="O1" s="1"/>
      <c r="P1" s="1"/>
      <c r="Q1" s="1"/>
      <c r="R1" s="1"/>
      <c r="S1" s="4"/>
      <c r="T1" s="319" t="s">
        <v>182</v>
      </c>
    </row>
    <row r="2" ht="27.0" customHeight="1">
      <c r="A2" s="6"/>
      <c r="B2" s="7"/>
      <c r="C2" s="8"/>
      <c r="D2" s="7"/>
      <c r="E2" s="9" t="s">
        <v>1</v>
      </c>
      <c r="F2" s="10"/>
      <c r="G2" s="11" t="s">
        <v>2</v>
      </c>
      <c r="H2" s="12"/>
      <c r="I2" s="12"/>
      <c r="J2" s="10"/>
      <c r="K2" s="13" t="s">
        <v>3</v>
      </c>
      <c r="L2" s="12"/>
      <c r="M2" s="10"/>
      <c r="N2" s="14" t="s">
        <v>4</v>
      </c>
      <c r="O2" s="12"/>
      <c r="P2" s="10"/>
      <c r="Q2" s="8" t="s">
        <v>5</v>
      </c>
      <c r="R2" s="15" t="s">
        <v>6</v>
      </c>
      <c r="S2" s="16" t="s">
        <v>7</v>
      </c>
      <c r="T2" s="17" t="s">
        <v>8</v>
      </c>
    </row>
    <row r="3" ht="30.75" customHeight="1">
      <c r="A3" s="18" t="s">
        <v>9</v>
      </c>
      <c r="B3" s="19" t="s">
        <v>10</v>
      </c>
      <c r="C3" s="20" t="s">
        <v>11</v>
      </c>
      <c r="D3" s="20" t="s">
        <v>12</v>
      </c>
      <c r="E3" s="21" t="s">
        <v>13</v>
      </c>
      <c r="F3" s="22" t="s">
        <v>14</v>
      </c>
      <c r="G3" s="23" t="s">
        <v>15</v>
      </c>
      <c r="H3" s="24">
        <v>12000.0</v>
      </c>
      <c r="I3" s="25">
        <v>0.96</v>
      </c>
      <c r="J3" s="26" t="s">
        <v>14</v>
      </c>
      <c r="K3" s="27" t="s">
        <v>15</v>
      </c>
      <c r="L3" s="28">
        <v>14606.0</v>
      </c>
      <c r="M3" s="29" t="s">
        <v>14</v>
      </c>
      <c r="N3" s="30" t="s">
        <v>15</v>
      </c>
      <c r="O3" s="31">
        <v>17300.0</v>
      </c>
      <c r="P3" s="32" t="s">
        <v>14</v>
      </c>
      <c r="Q3" s="33" t="s">
        <v>14</v>
      </c>
      <c r="R3" s="34" t="s">
        <v>16</v>
      </c>
      <c r="S3" s="35" t="s">
        <v>17</v>
      </c>
      <c r="T3" s="36" t="s">
        <v>18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ht="13.5" customHeight="1">
      <c r="A4" s="38" t="s">
        <v>19</v>
      </c>
      <c r="B4" s="39">
        <v>10709.0</v>
      </c>
      <c r="C4" s="40" t="s">
        <v>20</v>
      </c>
      <c r="D4" s="41">
        <v>0.35</v>
      </c>
      <c r="E4" s="42">
        <v>112000.0</v>
      </c>
      <c r="F4" s="43">
        <f t="shared" ref="F4:F5" si="1">E4*D4</f>
        <v>39200</v>
      </c>
      <c r="G4" s="44">
        <v>28.0</v>
      </c>
      <c r="H4" s="45">
        <f t="shared" ref="H4:H5" si="2">G4*$H$3</f>
        <v>336000</v>
      </c>
      <c r="I4" s="45">
        <f t="shared" ref="I4:I5" si="3">H4*$I$3</f>
        <v>322560</v>
      </c>
      <c r="J4" s="46">
        <f t="shared" ref="J4:J5" si="4">I4*D4</f>
        <v>112896</v>
      </c>
      <c r="K4" s="47"/>
      <c r="L4" s="45">
        <f>K4*$L$3</f>
        <v>0</v>
      </c>
      <c r="M4" s="48">
        <f>L4*$D$4</f>
        <v>0</v>
      </c>
      <c r="N4" s="47"/>
      <c r="O4" s="45">
        <f>N4*$O$3</f>
        <v>0</v>
      </c>
      <c r="P4" s="49">
        <f>O4*D4</f>
        <v>0</v>
      </c>
      <c r="Q4" s="50">
        <f t="shared" ref="Q4:Q5" si="5">F4+J4+M4+P4</f>
        <v>152096</v>
      </c>
      <c r="R4" s="51"/>
      <c r="S4" s="52"/>
      <c r="T4" s="53">
        <f t="shared" ref="T4:T5" si="6">Q4</f>
        <v>152096</v>
      </c>
    </row>
    <row r="5" ht="12.0" customHeight="1">
      <c r="A5" s="54" t="s">
        <v>21</v>
      </c>
      <c r="B5" s="55">
        <v>19641.0</v>
      </c>
      <c r="C5" s="56" t="s">
        <v>22</v>
      </c>
      <c r="D5" s="57">
        <v>0.35</v>
      </c>
      <c r="E5" s="320">
        <v>230500.0</v>
      </c>
      <c r="F5" s="59">
        <f t="shared" si="1"/>
        <v>80675</v>
      </c>
      <c r="G5" s="321">
        <v>18.0</v>
      </c>
      <c r="H5" s="61">
        <f t="shared" si="2"/>
        <v>216000</v>
      </c>
      <c r="I5" s="61">
        <f t="shared" si="3"/>
        <v>207360</v>
      </c>
      <c r="J5" s="62">
        <f t="shared" si="4"/>
        <v>72576</v>
      </c>
      <c r="K5" s="63"/>
      <c r="L5" s="64"/>
      <c r="M5" s="65"/>
      <c r="N5" s="63"/>
      <c r="O5" s="64"/>
      <c r="P5" s="65"/>
      <c r="Q5" s="50">
        <f t="shared" si="5"/>
        <v>153251</v>
      </c>
      <c r="R5" s="66"/>
      <c r="S5" s="67">
        <f>SUM(Q4:Q5)</f>
        <v>305347</v>
      </c>
      <c r="T5" s="68">
        <f t="shared" si="6"/>
        <v>153251</v>
      </c>
    </row>
    <row r="6" ht="13.5" customHeight="1">
      <c r="A6" s="69" t="s">
        <v>23</v>
      </c>
      <c r="B6" s="70">
        <v>28692.0</v>
      </c>
      <c r="C6" s="71" t="s">
        <v>24</v>
      </c>
      <c r="D6" s="72"/>
      <c r="E6" s="73"/>
      <c r="F6" s="73"/>
      <c r="G6" s="74"/>
      <c r="H6" s="75"/>
      <c r="I6" s="75"/>
      <c r="J6" s="76"/>
      <c r="K6" s="77"/>
      <c r="L6" s="75"/>
      <c r="M6" s="78"/>
      <c r="N6" s="77"/>
      <c r="O6" s="75"/>
      <c r="P6" s="78"/>
      <c r="Q6" s="79" t="str">
        <f>E6</f>
        <v/>
      </c>
      <c r="R6" s="80"/>
      <c r="S6" s="81"/>
      <c r="T6" s="82"/>
      <c r="U6" s="83" t="s">
        <v>25</v>
      </c>
    </row>
    <row r="7" ht="14.25" customHeight="1">
      <c r="A7" s="84" t="s">
        <v>26</v>
      </c>
      <c r="B7" s="85" t="s">
        <v>27</v>
      </c>
      <c r="C7" s="86" t="s">
        <v>28</v>
      </c>
      <c r="D7" s="87">
        <v>0.23</v>
      </c>
      <c r="E7" s="322">
        <v>520706.88</v>
      </c>
      <c r="F7" s="89">
        <f t="shared" ref="F7:F30" si="7">E7*D7</f>
        <v>119762.5824</v>
      </c>
      <c r="G7" s="90"/>
      <c r="H7" s="91"/>
      <c r="I7" s="91"/>
      <c r="J7" s="92"/>
      <c r="K7" s="93"/>
      <c r="L7" s="94"/>
      <c r="M7" s="95"/>
      <c r="N7" s="93"/>
      <c r="O7" s="94"/>
      <c r="P7" s="95"/>
      <c r="Q7" s="50">
        <f t="shared" ref="Q7:Q25" si="8">F7+J7+M7+P7</f>
        <v>119762.5824</v>
      </c>
      <c r="R7" s="96"/>
      <c r="S7" s="67">
        <f>SUM(Q7)</f>
        <v>119762.5824</v>
      </c>
      <c r="T7" s="97">
        <f>Q7</f>
        <v>119762.5824</v>
      </c>
    </row>
    <row r="8" ht="13.5" customHeight="1">
      <c r="A8" s="38" t="s">
        <v>29</v>
      </c>
      <c r="B8" s="39">
        <v>18345.0</v>
      </c>
      <c r="C8" s="40" t="s">
        <v>30</v>
      </c>
      <c r="D8" s="98">
        <v>0.3</v>
      </c>
      <c r="E8" s="320">
        <v>680000.0</v>
      </c>
      <c r="F8" s="48">
        <f t="shared" si="7"/>
        <v>204000</v>
      </c>
      <c r="G8" s="321">
        <v>43.0</v>
      </c>
      <c r="H8" s="45">
        <f t="shared" ref="H8:H9" si="9">G8*$H$3</f>
        <v>516000</v>
      </c>
      <c r="I8" s="45">
        <f t="shared" ref="I8:I9" si="10">H8*$I$3</f>
        <v>495360</v>
      </c>
      <c r="J8" s="46">
        <f>D8*E8</f>
        <v>204000</v>
      </c>
      <c r="K8" s="47"/>
      <c r="L8" s="45">
        <f t="shared" ref="L8:L9" si="11">K8*$L$3</f>
        <v>0</v>
      </c>
      <c r="M8" s="49">
        <f>L8*E8</f>
        <v>0</v>
      </c>
      <c r="N8" s="47"/>
      <c r="O8" s="45">
        <f>N8*$O$3</f>
        <v>0</v>
      </c>
      <c r="P8" s="49">
        <f>O8*E8</f>
        <v>0</v>
      </c>
      <c r="Q8" s="50">
        <f t="shared" si="8"/>
        <v>408000</v>
      </c>
      <c r="R8" s="100">
        <v>0.4</v>
      </c>
      <c r="S8" s="101"/>
      <c r="T8" s="102">
        <f t="shared" ref="T8:T10" si="12">$S$11*R8</f>
        <v>256555.2</v>
      </c>
    </row>
    <row r="9" ht="13.5" customHeight="1">
      <c r="A9" s="103" t="s">
        <v>29</v>
      </c>
      <c r="B9" s="104">
        <v>24425.0</v>
      </c>
      <c r="C9" s="105" t="s">
        <v>31</v>
      </c>
      <c r="D9" s="98">
        <v>0.3</v>
      </c>
      <c r="E9" s="322">
        <v>334200.0</v>
      </c>
      <c r="F9" s="48">
        <f t="shared" si="7"/>
        <v>100260</v>
      </c>
      <c r="G9" s="321">
        <v>18.0</v>
      </c>
      <c r="H9" s="107">
        <f t="shared" si="9"/>
        <v>216000</v>
      </c>
      <c r="I9" s="107">
        <f t="shared" si="10"/>
        <v>207360</v>
      </c>
      <c r="J9" s="48">
        <f>I9*D9</f>
        <v>62208</v>
      </c>
      <c r="K9" s="108"/>
      <c r="L9" s="107">
        <f t="shared" si="11"/>
        <v>0</v>
      </c>
      <c r="M9" s="48">
        <f>L9*D9</f>
        <v>0</v>
      </c>
      <c r="N9" s="109"/>
      <c r="O9" s="110"/>
      <c r="P9" s="111"/>
      <c r="Q9" s="50">
        <f t="shared" si="8"/>
        <v>162468</v>
      </c>
      <c r="R9" s="112">
        <v>0.37</v>
      </c>
      <c r="S9" s="101"/>
      <c r="T9" s="102">
        <f t="shared" si="12"/>
        <v>237313.56</v>
      </c>
    </row>
    <row r="10" ht="13.5" customHeight="1">
      <c r="A10" s="103" t="s">
        <v>32</v>
      </c>
      <c r="B10" s="104">
        <v>33008.0</v>
      </c>
      <c r="C10" s="105" t="s">
        <v>33</v>
      </c>
      <c r="D10" s="98">
        <v>0.3</v>
      </c>
      <c r="E10" s="320">
        <v>190900.0</v>
      </c>
      <c r="F10" s="48">
        <f t="shared" si="7"/>
        <v>57270</v>
      </c>
      <c r="G10" s="113"/>
      <c r="H10" s="110"/>
      <c r="I10" s="110"/>
      <c r="J10" s="114"/>
      <c r="K10" s="109"/>
      <c r="L10" s="110"/>
      <c r="M10" s="111"/>
      <c r="N10" s="109"/>
      <c r="O10" s="110"/>
      <c r="P10" s="111"/>
      <c r="Q10" s="50">
        <f t="shared" si="8"/>
        <v>57270</v>
      </c>
      <c r="R10" s="112">
        <v>0.23</v>
      </c>
      <c r="S10" s="101"/>
      <c r="T10" s="102">
        <f t="shared" si="12"/>
        <v>147519.24</v>
      </c>
    </row>
    <row r="11" ht="13.5" customHeight="1">
      <c r="A11" s="103" t="s">
        <v>32</v>
      </c>
      <c r="B11" s="115">
        <v>6666.0</v>
      </c>
      <c r="C11" s="116" t="s">
        <v>34</v>
      </c>
      <c r="D11" s="117">
        <v>0.3</v>
      </c>
      <c r="E11" s="320">
        <v>45500.0</v>
      </c>
      <c r="F11" s="119">
        <f t="shared" si="7"/>
        <v>13650</v>
      </c>
      <c r="G11" s="120"/>
      <c r="H11" s="121">
        <f t="shared" ref="H11:H14" si="13">G11*$H$3</f>
        <v>0</v>
      </c>
      <c r="I11" s="121">
        <f t="shared" ref="I11:I14" si="14">H11*$I$3</f>
        <v>0</v>
      </c>
      <c r="J11" s="122">
        <f t="shared" ref="J11:J14" si="15">I11*D11</f>
        <v>0</v>
      </c>
      <c r="K11" s="120"/>
      <c r="L11" s="121">
        <f>K11*$L$3</f>
        <v>0</v>
      </c>
      <c r="M11" s="122">
        <f>L11*D11</f>
        <v>0</v>
      </c>
      <c r="N11" s="123"/>
      <c r="O11" s="121">
        <f>N11*$O$3</f>
        <v>0</v>
      </c>
      <c r="P11" s="122">
        <f>O11*$D11</f>
        <v>0</v>
      </c>
      <c r="Q11" s="50">
        <f t="shared" si="8"/>
        <v>13650</v>
      </c>
      <c r="R11" s="66"/>
      <c r="S11" s="67">
        <f>SUM(Q8:Q11)</f>
        <v>641388</v>
      </c>
      <c r="T11" s="82"/>
      <c r="U11" s="124" t="s">
        <v>35</v>
      </c>
    </row>
    <row r="12" ht="13.5" customHeight="1">
      <c r="A12" s="38" t="s">
        <v>36</v>
      </c>
      <c r="B12" s="39">
        <v>19788.0</v>
      </c>
      <c r="C12" s="125" t="s">
        <v>37</v>
      </c>
      <c r="D12" s="126">
        <v>0.2</v>
      </c>
      <c r="E12" s="320">
        <v>475700.0</v>
      </c>
      <c r="F12" s="46">
        <f t="shared" si="7"/>
        <v>95140</v>
      </c>
      <c r="G12" s="321">
        <v>63.0</v>
      </c>
      <c r="H12" s="45">
        <f t="shared" si="13"/>
        <v>756000</v>
      </c>
      <c r="I12" s="45">
        <f t="shared" si="14"/>
        <v>725760</v>
      </c>
      <c r="J12" s="46">
        <f t="shared" si="15"/>
        <v>145152</v>
      </c>
      <c r="K12" s="127"/>
      <c r="L12" s="128"/>
      <c r="M12" s="129"/>
      <c r="N12" s="127"/>
      <c r="O12" s="128"/>
      <c r="P12" s="129"/>
      <c r="Q12" s="50">
        <f t="shared" si="8"/>
        <v>240292</v>
      </c>
      <c r="R12" s="100"/>
      <c r="S12" s="130"/>
      <c r="T12" s="53">
        <f t="shared" ref="T12:T13" si="16">Q12</f>
        <v>240292</v>
      </c>
    </row>
    <row r="13" ht="13.5" customHeight="1">
      <c r="A13" s="103" t="s">
        <v>38</v>
      </c>
      <c r="B13" s="104">
        <v>19541.0</v>
      </c>
      <c r="C13" s="105" t="s">
        <v>39</v>
      </c>
      <c r="D13" s="131">
        <v>0.2</v>
      </c>
      <c r="E13" s="322">
        <v>783640.0</v>
      </c>
      <c r="F13" s="48">
        <f t="shared" si="7"/>
        <v>156728</v>
      </c>
      <c r="G13" s="321">
        <v>84.0</v>
      </c>
      <c r="H13" s="107">
        <f t="shared" si="13"/>
        <v>1008000</v>
      </c>
      <c r="I13" s="107">
        <f t="shared" si="14"/>
        <v>967680</v>
      </c>
      <c r="J13" s="48">
        <f t="shared" si="15"/>
        <v>193536</v>
      </c>
      <c r="K13" s="109"/>
      <c r="L13" s="110"/>
      <c r="M13" s="111"/>
      <c r="N13" s="63"/>
      <c r="O13" s="64"/>
      <c r="P13" s="65"/>
      <c r="Q13" s="50">
        <f t="shared" si="8"/>
        <v>350264</v>
      </c>
      <c r="R13" s="112"/>
      <c r="S13" s="67">
        <f>SUM(Q12:Q13)</f>
        <v>590556</v>
      </c>
      <c r="T13" s="102">
        <f t="shared" si="16"/>
        <v>350264</v>
      </c>
    </row>
    <row r="14" ht="16.5" customHeight="1">
      <c r="A14" s="132" t="s">
        <v>40</v>
      </c>
      <c r="B14" s="133">
        <v>23188.0</v>
      </c>
      <c r="C14" s="40" t="s">
        <v>41</v>
      </c>
      <c r="D14" s="134">
        <v>0.35</v>
      </c>
      <c r="E14" s="322">
        <v>669500.0</v>
      </c>
      <c r="F14" s="46">
        <f t="shared" si="7"/>
        <v>234325</v>
      </c>
      <c r="G14" s="323">
        <v>19.0</v>
      </c>
      <c r="H14" s="45">
        <f t="shared" si="13"/>
        <v>228000</v>
      </c>
      <c r="I14" s="45">
        <f t="shared" si="14"/>
        <v>218880</v>
      </c>
      <c r="J14" s="46">
        <f t="shared" si="15"/>
        <v>76608</v>
      </c>
      <c r="K14" s="127"/>
      <c r="L14" s="128"/>
      <c r="M14" s="129"/>
      <c r="N14" s="108">
        <v>10.0</v>
      </c>
      <c r="O14" s="107">
        <f>N14*$O$3</f>
        <v>173000</v>
      </c>
      <c r="P14" s="48">
        <f>O14*$D14</f>
        <v>60550</v>
      </c>
      <c r="Q14" s="50">
        <f t="shared" si="8"/>
        <v>371483</v>
      </c>
      <c r="R14" s="135"/>
      <c r="S14" s="136"/>
      <c r="T14" s="137">
        <f>S15</f>
        <v>419608</v>
      </c>
    </row>
    <row r="15" ht="13.5" customHeight="1">
      <c r="A15" s="103" t="s">
        <v>42</v>
      </c>
      <c r="B15" s="115">
        <v>39206.0</v>
      </c>
      <c r="C15" s="116" t="s">
        <v>43</v>
      </c>
      <c r="D15" s="117">
        <v>0.35</v>
      </c>
      <c r="E15" s="320">
        <v>137500.0</v>
      </c>
      <c r="F15" s="119">
        <f t="shared" si="7"/>
        <v>48125</v>
      </c>
      <c r="G15" s="123"/>
      <c r="H15" s="123"/>
      <c r="I15" s="121"/>
      <c r="J15" s="122"/>
      <c r="K15" s="123"/>
      <c r="L15" s="121"/>
      <c r="M15" s="122"/>
      <c r="N15" s="138"/>
      <c r="O15" s="139"/>
      <c r="P15" s="140"/>
      <c r="Q15" s="122">
        <f t="shared" si="8"/>
        <v>48125</v>
      </c>
      <c r="R15" s="66"/>
      <c r="S15" s="67">
        <f>SUM(Q14+Q15)</f>
        <v>419608</v>
      </c>
      <c r="T15" s="82"/>
      <c r="U15" s="124" t="s">
        <v>44</v>
      </c>
    </row>
    <row r="16" ht="13.5" customHeight="1">
      <c r="A16" s="38" t="s">
        <v>45</v>
      </c>
      <c r="B16" s="39">
        <v>27377.0</v>
      </c>
      <c r="C16" s="40" t="s">
        <v>46</v>
      </c>
      <c r="D16" s="41">
        <v>0.35</v>
      </c>
      <c r="E16" s="320">
        <v>4000.0</v>
      </c>
      <c r="F16" s="46">
        <f t="shared" si="7"/>
        <v>1400</v>
      </c>
      <c r="G16" s="141"/>
      <c r="H16" s="128"/>
      <c r="I16" s="128"/>
      <c r="J16" s="142"/>
      <c r="K16" s="127"/>
      <c r="L16" s="128"/>
      <c r="M16" s="129"/>
      <c r="N16" s="108">
        <v>1.0</v>
      </c>
      <c r="O16" s="107">
        <f t="shared" ref="O16:O17" si="17">N16*$O$3</f>
        <v>17300</v>
      </c>
      <c r="P16" s="48">
        <f t="shared" ref="P16:P17" si="18">O16*$D16</f>
        <v>6055</v>
      </c>
      <c r="Q16" s="50">
        <f t="shared" si="8"/>
        <v>7455</v>
      </c>
      <c r="R16" s="100"/>
      <c r="S16" s="143"/>
      <c r="T16" s="53">
        <f t="shared" ref="T16:T21" si="19">Q16</f>
        <v>7455</v>
      </c>
    </row>
    <row r="17" ht="13.5" customHeight="1">
      <c r="A17" s="54" t="s">
        <v>47</v>
      </c>
      <c r="B17" s="55">
        <v>26059.0</v>
      </c>
      <c r="C17" s="56" t="s">
        <v>48</v>
      </c>
      <c r="D17" s="57">
        <v>0.35</v>
      </c>
      <c r="E17" s="322">
        <v>204000.0</v>
      </c>
      <c r="F17" s="59">
        <f t="shared" si="7"/>
        <v>71400</v>
      </c>
      <c r="G17" s="60">
        <v>25.0</v>
      </c>
      <c r="H17" s="107">
        <f>G17*$H$3</f>
        <v>300000</v>
      </c>
      <c r="I17" s="61">
        <f>H17*$I$3</f>
        <v>288000</v>
      </c>
      <c r="J17" s="62">
        <f>I17*D17</f>
        <v>100800</v>
      </c>
      <c r="K17" s="63"/>
      <c r="L17" s="64"/>
      <c r="M17" s="65"/>
      <c r="N17" s="108">
        <v>22.0</v>
      </c>
      <c r="O17" s="107">
        <f t="shared" si="17"/>
        <v>380600</v>
      </c>
      <c r="P17" s="48">
        <f t="shared" si="18"/>
        <v>133210</v>
      </c>
      <c r="Q17" s="50">
        <f t="shared" si="8"/>
        <v>305410</v>
      </c>
      <c r="R17" s="66"/>
      <c r="S17" s="67">
        <f>SUM(Q16+Q17)</f>
        <v>312865</v>
      </c>
      <c r="T17" s="68">
        <f t="shared" si="19"/>
        <v>305410</v>
      </c>
    </row>
    <row r="18" ht="18.0" customHeight="1">
      <c r="A18" s="84" t="s">
        <v>49</v>
      </c>
      <c r="B18" s="144">
        <v>40498.0</v>
      </c>
      <c r="C18" s="145" t="s">
        <v>50</v>
      </c>
      <c r="D18" s="146">
        <v>0.35</v>
      </c>
      <c r="E18" s="147"/>
      <c r="F18" s="89">
        <f t="shared" si="7"/>
        <v>0</v>
      </c>
      <c r="G18" s="148"/>
      <c r="H18" s="94"/>
      <c r="I18" s="94"/>
      <c r="J18" s="149"/>
      <c r="K18" s="63"/>
      <c r="L18" s="64"/>
      <c r="M18" s="65"/>
      <c r="N18" s="63"/>
      <c r="O18" s="64"/>
      <c r="P18" s="65"/>
      <c r="Q18" s="50">
        <f t="shared" si="8"/>
        <v>0</v>
      </c>
      <c r="R18" s="150"/>
      <c r="S18" s="151">
        <f>Q18</f>
        <v>0</v>
      </c>
      <c r="T18" s="97">
        <f t="shared" si="19"/>
        <v>0</v>
      </c>
    </row>
    <row r="19" ht="13.5" customHeight="1">
      <c r="A19" s="38" t="s">
        <v>51</v>
      </c>
      <c r="B19" s="39">
        <v>36854.0</v>
      </c>
      <c r="C19" s="40" t="s">
        <v>52</v>
      </c>
      <c r="D19" s="134">
        <v>0.35</v>
      </c>
      <c r="E19" s="147"/>
      <c r="F19" s="43">
        <f t="shared" si="7"/>
        <v>0</v>
      </c>
      <c r="G19" s="141"/>
      <c r="H19" s="128"/>
      <c r="I19" s="128"/>
      <c r="J19" s="142"/>
      <c r="K19" s="127"/>
      <c r="L19" s="128"/>
      <c r="M19" s="129"/>
      <c r="N19" s="127"/>
      <c r="O19" s="128"/>
      <c r="P19" s="129"/>
      <c r="Q19" s="50">
        <f t="shared" si="8"/>
        <v>0</v>
      </c>
      <c r="R19" s="51"/>
      <c r="S19" s="52"/>
      <c r="T19" s="53">
        <f t="shared" si="19"/>
        <v>0</v>
      </c>
    </row>
    <row r="20" ht="13.5" customHeight="1">
      <c r="A20" s="103" t="s">
        <v>53</v>
      </c>
      <c r="B20" s="55">
        <v>17696.0</v>
      </c>
      <c r="C20" s="56" t="s">
        <v>54</v>
      </c>
      <c r="D20" s="117">
        <v>0.35</v>
      </c>
      <c r="E20" s="322">
        <v>38500.0</v>
      </c>
      <c r="F20" s="59">
        <f t="shared" si="7"/>
        <v>13475</v>
      </c>
      <c r="G20" s="152"/>
      <c r="H20" s="64"/>
      <c r="I20" s="64"/>
      <c r="J20" s="153"/>
      <c r="K20" s="63"/>
      <c r="L20" s="64"/>
      <c r="M20" s="65"/>
      <c r="N20" s="108">
        <v>17.0</v>
      </c>
      <c r="O20" s="107">
        <f>N20*$O$3</f>
        <v>294100</v>
      </c>
      <c r="P20" s="48">
        <f>O20*$D20</f>
        <v>102935</v>
      </c>
      <c r="Q20" s="50">
        <f t="shared" si="8"/>
        <v>116410</v>
      </c>
      <c r="R20" s="66"/>
      <c r="S20" s="67">
        <f>SUM(Q19+Q20)</f>
        <v>116410</v>
      </c>
      <c r="T20" s="68">
        <f t="shared" si="19"/>
        <v>116410</v>
      </c>
    </row>
    <row r="21" ht="13.5" customHeight="1">
      <c r="A21" s="38" t="s">
        <v>55</v>
      </c>
      <c r="B21" s="39">
        <v>17704.0</v>
      </c>
      <c r="C21" s="40" t="s">
        <v>56</v>
      </c>
      <c r="D21" s="134">
        <v>0.35</v>
      </c>
      <c r="E21" s="147"/>
      <c r="F21" s="43">
        <f t="shared" si="7"/>
        <v>0</v>
      </c>
      <c r="G21" s="141"/>
      <c r="H21" s="128"/>
      <c r="I21" s="128"/>
      <c r="J21" s="142"/>
      <c r="K21" s="127"/>
      <c r="L21" s="128"/>
      <c r="M21" s="129"/>
      <c r="N21" s="127"/>
      <c r="O21" s="128"/>
      <c r="P21" s="129"/>
      <c r="Q21" s="50">
        <f t="shared" si="8"/>
        <v>0</v>
      </c>
      <c r="R21" s="51"/>
      <c r="S21" s="52"/>
      <c r="T21" s="53">
        <f t="shared" si="19"/>
        <v>0</v>
      </c>
    </row>
    <row r="22" ht="13.5" customHeight="1">
      <c r="A22" s="103" t="s">
        <v>55</v>
      </c>
      <c r="B22" s="154">
        <v>37080.0</v>
      </c>
      <c r="C22" s="155" t="s">
        <v>57</v>
      </c>
      <c r="D22" s="156">
        <v>0.35</v>
      </c>
      <c r="E22" s="320">
        <v>16000.0</v>
      </c>
      <c r="F22" s="158">
        <f t="shared" si="7"/>
        <v>5600</v>
      </c>
      <c r="G22" s="113"/>
      <c r="H22" s="110"/>
      <c r="I22" s="110"/>
      <c r="J22" s="114"/>
      <c r="K22" s="109"/>
      <c r="L22" s="110"/>
      <c r="M22" s="111"/>
      <c r="N22" s="109"/>
      <c r="O22" s="110"/>
      <c r="P22" s="111"/>
      <c r="Q22" s="50">
        <f t="shared" si="8"/>
        <v>5600</v>
      </c>
      <c r="R22" s="159">
        <v>0.5</v>
      </c>
      <c r="S22" s="160"/>
      <c r="T22" s="102">
        <f>Q23*R22</f>
        <v>15732.5</v>
      </c>
    </row>
    <row r="23" ht="13.5" customHeight="1">
      <c r="A23" s="103" t="s">
        <v>58</v>
      </c>
      <c r="B23" s="55">
        <v>31450.0</v>
      </c>
      <c r="C23" s="56" t="s">
        <v>59</v>
      </c>
      <c r="D23" s="57">
        <v>0.35</v>
      </c>
      <c r="E23" s="322">
        <v>38000.0</v>
      </c>
      <c r="F23" s="59">
        <f t="shared" si="7"/>
        <v>13300</v>
      </c>
      <c r="G23" s="60"/>
      <c r="H23" s="107">
        <f>G23*$H$3</f>
        <v>0</v>
      </c>
      <c r="I23" s="61">
        <f>H23*$I$3</f>
        <v>0</v>
      </c>
      <c r="J23" s="62">
        <f>I23*D23</f>
        <v>0</v>
      </c>
      <c r="K23" s="63"/>
      <c r="L23" s="64"/>
      <c r="M23" s="65"/>
      <c r="N23" s="108">
        <v>3.0</v>
      </c>
      <c r="O23" s="107">
        <f>N23*$O$3</f>
        <v>51900</v>
      </c>
      <c r="P23" s="48">
        <f>O23*$D23</f>
        <v>18165</v>
      </c>
      <c r="Q23" s="50">
        <f t="shared" si="8"/>
        <v>31465</v>
      </c>
      <c r="R23" s="66">
        <v>0.5</v>
      </c>
      <c r="S23" s="67">
        <f>SUM(Q21:Q23)</f>
        <v>37065</v>
      </c>
      <c r="T23" s="68">
        <f>Q23*R23</f>
        <v>15732.5</v>
      </c>
    </row>
    <row r="24" ht="15.75" customHeight="1">
      <c r="A24" s="38" t="s">
        <v>60</v>
      </c>
      <c r="B24" s="39">
        <v>32233.0</v>
      </c>
      <c r="C24" s="40" t="s">
        <v>61</v>
      </c>
      <c r="D24" s="134">
        <v>0.35</v>
      </c>
      <c r="E24" s="147"/>
      <c r="F24" s="46">
        <f t="shared" si="7"/>
        <v>0</v>
      </c>
      <c r="G24" s="141"/>
      <c r="H24" s="128"/>
      <c r="I24" s="128"/>
      <c r="J24" s="142"/>
      <c r="K24" s="127"/>
      <c r="L24" s="128"/>
      <c r="M24" s="129"/>
      <c r="N24" s="127"/>
      <c r="O24" s="128"/>
      <c r="P24" s="129"/>
      <c r="Q24" s="50">
        <f t="shared" si="8"/>
        <v>0</v>
      </c>
      <c r="R24" s="161"/>
      <c r="S24" s="130"/>
      <c r="T24" s="137">
        <f t="shared" ref="T24:T25" si="20">Q24</f>
        <v>0</v>
      </c>
    </row>
    <row r="25" ht="15.75" customHeight="1">
      <c r="A25" s="103" t="s">
        <v>62</v>
      </c>
      <c r="B25" s="55">
        <v>27950.0</v>
      </c>
      <c r="C25" s="56" t="s">
        <v>63</v>
      </c>
      <c r="D25" s="117">
        <v>0.35</v>
      </c>
      <c r="E25" s="162"/>
      <c r="F25" s="62">
        <f t="shared" si="7"/>
        <v>0</v>
      </c>
      <c r="G25" s="152"/>
      <c r="H25" s="64"/>
      <c r="I25" s="64"/>
      <c r="J25" s="153"/>
      <c r="K25" s="63"/>
      <c r="L25" s="64"/>
      <c r="M25" s="65"/>
      <c r="N25" s="63"/>
      <c r="O25" s="64"/>
      <c r="P25" s="65"/>
      <c r="Q25" s="50">
        <f t="shared" si="8"/>
        <v>0</v>
      </c>
      <c r="R25" s="163"/>
      <c r="S25" s="67">
        <f>SUM(Q24+Q25)</f>
        <v>0</v>
      </c>
      <c r="T25" s="137">
        <f t="shared" si="20"/>
        <v>0</v>
      </c>
    </row>
    <row r="26" ht="13.5" customHeight="1">
      <c r="A26" s="38" t="s">
        <v>64</v>
      </c>
      <c r="B26" s="164" t="s">
        <v>65</v>
      </c>
      <c r="C26" s="165" t="s">
        <v>66</v>
      </c>
      <c r="D26" s="166">
        <v>0.3</v>
      </c>
      <c r="E26" s="257">
        <v>474402.68</v>
      </c>
      <c r="F26" s="168">
        <f t="shared" si="7"/>
        <v>142320.804</v>
      </c>
      <c r="G26" s="141"/>
      <c r="H26" s="128"/>
      <c r="I26" s="128"/>
      <c r="J26" s="142"/>
      <c r="K26" s="127"/>
      <c r="L26" s="128"/>
      <c r="M26" s="129"/>
      <c r="N26" s="127"/>
      <c r="O26" s="128"/>
      <c r="P26" s="129"/>
      <c r="Q26" s="169"/>
      <c r="R26" s="169"/>
      <c r="S26" s="169"/>
      <c r="T26" s="170"/>
    </row>
    <row r="27" ht="13.5" customHeight="1">
      <c r="A27" s="103" t="s">
        <v>64</v>
      </c>
      <c r="B27" s="115" t="s">
        <v>65</v>
      </c>
      <c r="C27" s="116" t="s">
        <v>67</v>
      </c>
      <c r="D27" s="166">
        <v>0.3</v>
      </c>
      <c r="E27" s="118">
        <v>59000.0</v>
      </c>
      <c r="F27" s="172">
        <f t="shared" si="7"/>
        <v>17700</v>
      </c>
      <c r="G27" s="113"/>
      <c r="H27" s="110"/>
      <c r="I27" s="110"/>
      <c r="J27" s="114"/>
      <c r="K27" s="109"/>
      <c r="L27" s="110"/>
      <c r="M27" s="111"/>
      <c r="N27" s="109"/>
      <c r="O27" s="110"/>
      <c r="P27" s="111"/>
      <c r="Q27" s="173"/>
      <c r="R27" s="173"/>
      <c r="S27" s="173"/>
      <c r="T27" s="174"/>
    </row>
    <row r="28" ht="13.5" customHeight="1">
      <c r="A28" s="103" t="s">
        <v>64</v>
      </c>
      <c r="B28" s="115" t="s">
        <v>65</v>
      </c>
      <c r="C28" s="116" t="s">
        <v>68</v>
      </c>
      <c r="D28" s="166">
        <v>0.3</v>
      </c>
      <c r="E28" s="118">
        <v>88200.0</v>
      </c>
      <c r="F28" s="172">
        <f t="shared" si="7"/>
        <v>26460</v>
      </c>
      <c r="G28" s="113"/>
      <c r="H28" s="110"/>
      <c r="I28" s="110"/>
      <c r="J28" s="114"/>
      <c r="K28" s="109"/>
      <c r="L28" s="110"/>
      <c r="M28" s="111"/>
      <c r="N28" s="109"/>
      <c r="O28" s="110"/>
      <c r="P28" s="111"/>
      <c r="Q28" s="173"/>
      <c r="R28" s="173"/>
      <c r="S28" s="173"/>
      <c r="T28" s="174"/>
    </row>
    <row r="29" ht="13.5" customHeight="1">
      <c r="A29" s="103" t="s">
        <v>64</v>
      </c>
      <c r="B29" s="115" t="s">
        <v>65</v>
      </c>
      <c r="C29" s="116" t="s">
        <v>69</v>
      </c>
      <c r="D29" s="166">
        <v>0.3</v>
      </c>
      <c r="E29" s="118">
        <v>455050.0</v>
      </c>
      <c r="F29" s="172">
        <f t="shared" si="7"/>
        <v>136515</v>
      </c>
      <c r="G29" s="113"/>
      <c r="H29" s="110"/>
      <c r="I29" s="110"/>
      <c r="J29" s="114"/>
      <c r="K29" s="109"/>
      <c r="L29" s="110"/>
      <c r="M29" s="111"/>
      <c r="N29" s="109"/>
      <c r="O29" s="110"/>
      <c r="P29" s="111"/>
      <c r="Q29" s="173"/>
      <c r="R29" s="173"/>
      <c r="S29" s="173"/>
      <c r="T29" s="174"/>
    </row>
    <row r="30" ht="13.5" customHeight="1">
      <c r="A30" s="103" t="s">
        <v>64</v>
      </c>
      <c r="B30" s="115">
        <v>34227.0</v>
      </c>
      <c r="C30" s="116" t="s">
        <v>70</v>
      </c>
      <c r="D30" s="166">
        <v>0.3</v>
      </c>
      <c r="E30" s="322">
        <v>176000.0</v>
      </c>
      <c r="F30" s="172">
        <f t="shared" si="7"/>
        <v>52800</v>
      </c>
      <c r="G30" s="113"/>
      <c r="H30" s="110"/>
      <c r="I30" s="110"/>
      <c r="J30" s="114"/>
      <c r="K30" s="109"/>
      <c r="L30" s="110"/>
      <c r="M30" s="111"/>
      <c r="N30" s="109"/>
      <c r="O30" s="110"/>
      <c r="P30" s="111"/>
      <c r="Q30" s="173"/>
      <c r="R30" s="173"/>
      <c r="S30" s="173"/>
      <c r="T30" s="174"/>
    </row>
    <row r="31" ht="13.5" customHeight="1">
      <c r="A31" s="103" t="s">
        <v>64</v>
      </c>
      <c r="B31" s="175">
        <v>15609.0</v>
      </c>
      <c r="C31" s="176" t="s">
        <v>71</v>
      </c>
      <c r="D31" s="166">
        <v>0.3</v>
      </c>
      <c r="E31" s="322">
        <v>3051437.58</v>
      </c>
      <c r="F31" s="178">
        <f>(E31*D31)+F26+F27+F28+F29+F30</f>
        <v>1291227.078</v>
      </c>
      <c r="G31" s="106">
        <v>165.0</v>
      </c>
      <c r="H31" s="107">
        <f>G31*$H$3</f>
        <v>1980000</v>
      </c>
      <c r="I31" s="107">
        <f>H31*$I$3</f>
        <v>1900800</v>
      </c>
      <c r="J31" s="48">
        <f>I31*D31</f>
        <v>570240</v>
      </c>
      <c r="K31" s="109"/>
      <c r="L31" s="110"/>
      <c r="M31" s="111"/>
      <c r="N31" s="321">
        <v>33.0</v>
      </c>
      <c r="O31" s="107">
        <f>N31*$O$3</f>
        <v>570900</v>
      </c>
      <c r="P31" s="48">
        <f>O31*$D31</f>
        <v>171270</v>
      </c>
      <c r="Q31" s="179">
        <f t="shared" ref="Q31:Q56" si="21">F31+J31+M31+P31</f>
        <v>2032737.078</v>
      </c>
      <c r="R31" s="112"/>
      <c r="S31" s="180"/>
      <c r="T31" s="102">
        <f t="shared" ref="T31:T55" si="22">Q31</f>
        <v>2032737.078</v>
      </c>
      <c r="U31" s="124" t="s">
        <v>72</v>
      </c>
    </row>
    <row r="32" ht="13.5" customHeight="1">
      <c r="A32" s="103" t="s">
        <v>64</v>
      </c>
      <c r="B32" s="175">
        <v>33728.0</v>
      </c>
      <c r="C32" s="176" t="s">
        <v>73</v>
      </c>
      <c r="D32" s="166">
        <v>0.35</v>
      </c>
      <c r="E32" s="320">
        <v>1211000.0</v>
      </c>
      <c r="F32" s="48">
        <f t="shared" ref="F32:F55" si="23">E32*D32</f>
        <v>423850</v>
      </c>
      <c r="G32" s="113"/>
      <c r="H32" s="110"/>
      <c r="I32" s="110"/>
      <c r="J32" s="114"/>
      <c r="K32" s="109"/>
      <c r="L32" s="110"/>
      <c r="M32" s="111"/>
      <c r="N32" s="109"/>
      <c r="O32" s="110"/>
      <c r="P32" s="111"/>
      <c r="Q32" s="50">
        <f t="shared" si="21"/>
        <v>423850</v>
      </c>
      <c r="R32" s="112"/>
      <c r="S32" s="180"/>
      <c r="T32" s="102">
        <f t="shared" si="22"/>
        <v>423850</v>
      </c>
    </row>
    <row r="33" ht="13.5" customHeight="1">
      <c r="A33" s="103" t="s">
        <v>64</v>
      </c>
      <c r="B33" s="104">
        <v>34774.0</v>
      </c>
      <c r="C33" s="105" t="s">
        <v>74</v>
      </c>
      <c r="D33" s="166">
        <v>0.35</v>
      </c>
      <c r="E33" s="320">
        <v>1048300.0</v>
      </c>
      <c r="F33" s="48">
        <f t="shared" si="23"/>
        <v>366905</v>
      </c>
      <c r="G33" s="113"/>
      <c r="H33" s="110"/>
      <c r="I33" s="110"/>
      <c r="J33" s="114"/>
      <c r="K33" s="109"/>
      <c r="L33" s="110"/>
      <c r="M33" s="111"/>
      <c r="N33" s="109"/>
      <c r="O33" s="110"/>
      <c r="P33" s="111"/>
      <c r="Q33" s="50">
        <f t="shared" si="21"/>
        <v>366905</v>
      </c>
      <c r="R33" s="159"/>
      <c r="S33" s="180"/>
      <c r="T33" s="102">
        <f t="shared" si="22"/>
        <v>366905</v>
      </c>
    </row>
    <row r="34" ht="13.5" customHeight="1">
      <c r="A34" s="103" t="s">
        <v>64</v>
      </c>
      <c r="B34" s="182">
        <v>40353.0</v>
      </c>
      <c r="C34" s="183" t="s">
        <v>76</v>
      </c>
      <c r="D34" s="166">
        <v>0.35</v>
      </c>
      <c r="E34" s="184">
        <v>35000.0</v>
      </c>
      <c r="F34" s="48">
        <f t="shared" si="23"/>
        <v>12250</v>
      </c>
      <c r="G34" s="185"/>
      <c r="H34" s="186"/>
      <c r="I34" s="186"/>
      <c r="J34" s="187"/>
      <c r="K34" s="188"/>
      <c r="L34" s="186"/>
      <c r="M34" s="189"/>
      <c r="N34" s="188"/>
      <c r="O34" s="186"/>
      <c r="P34" s="189"/>
      <c r="Q34" s="50">
        <f t="shared" si="21"/>
        <v>12250</v>
      </c>
      <c r="R34" s="190"/>
      <c r="S34" s="67">
        <f>SUM(Q26:Q34)</f>
        <v>2835742.078</v>
      </c>
      <c r="T34" s="68">
        <f t="shared" si="22"/>
        <v>12250</v>
      </c>
      <c r="U34" s="181" t="s">
        <v>75</v>
      </c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 ht="13.5" customHeight="1">
      <c r="A35" s="38" t="s">
        <v>77</v>
      </c>
      <c r="B35" s="39">
        <v>12196.0</v>
      </c>
      <c r="C35" s="40" t="s">
        <v>78</v>
      </c>
      <c r="D35" s="41">
        <v>0.3</v>
      </c>
      <c r="E35" s="322">
        <v>1683376.0</v>
      </c>
      <c r="F35" s="46">
        <f t="shared" si="23"/>
        <v>505012.8</v>
      </c>
      <c r="G35" s="321">
        <v>125.0</v>
      </c>
      <c r="H35" s="107">
        <f>G35*11000</f>
        <v>1375000</v>
      </c>
      <c r="I35" s="45">
        <f>H35*$I$3</f>
        <v>1320000</v>
      </c>
      <c r="J35" s="46">
        <f>I35*D35</f>
        <v>396000</v>
      </c>
      <c r="K35" s="127"/>
      <c r="L35" s="128"/>
      <c r="M35" s="129"/>
      <c r="N35" s="127"/>
      <c r="O35" s="128"/>
      <c r="P35" s="129"/>
      <c r="Q35" s="50">
        <f t="shared" si="21"/>
        <v>901012.8</v>
      </c>
      <c r="R35" s="100"/>
      <c r="S35" s="52"/>
      <c r="T35" s="53">
        <f t="shared" si="22"/>
        <v>901012.8</v>
      </c>
    </row>
    <row r="36" ht="13.5" customHeight="1">
      <c r="A36" s="54" t="s">
        <v>79</v>
      </c>
      <c r="B36" s="55">
        <v>39745.0</v>
      </c>
      <c r="C36" s="56" t="s">
        <v>80</v>
      </c>
      <c r="D36" s="57">
        <v>0.35</v>
      </c>
      <c r="E36" s="320">
        <v>187000.0</v>
      </c>
      <c r="F36" s="59">
        <f t="shared" si="23"/>
        <v>65450</v>
      </c>
      <c r="G36" s="152"/>
      <c r="H36" s="64"/>
      <c r="I36" s="64"/>
      <c r="J36" s="153"/>
      <c r="K36" s="63"/>
      <c r="L36" s="64"/>
      <c r="M36" s="65"/>
      <c r="N36" s="63"/>
      <c r="O36" s="64"/>
      <c r="P36" s="65"/>
      <c r="Q36" s="50">
        <f t="shared" si="21"/>
        <v>65450</v>
      </c>
      <c r="R36" s="66"/>
      <c r="S36" s="151">
        <f>SUM(Q35:Q36)</f>
        <v>966462.8</v>
      </c>
      <c r="T36" s="68">
        <f t="shared" si="22"/>
        <v>65450</v>
      </c>
    </row>
    <row r="37" ht="13.5" customHeight="1">
      <c r="A37" s="38" t="s">
        <v>81</v>
      </c>
      <c r="B37" s="39">
        <v>24862.0</v>
      </c>
      <c r="C37" s="40" t="s">
        <v>82</v>
      </c>
      <c r="D37" s="41">
        <v>0.35</v>
      </c>
      <c r="E37" s="320">
        <v>832439.0</v>
      </c>
      <c r="F37" s="46">
        <f t="shared" si="23"/>
        <v>291353.65</v>
      </c>
      <c r="G37" s="321">
        <v>75.0</v>
      </c>
      <c r="H37" s="107">
        <f t="shared" ref="H37:H38" si="24">G37*$H$3</f>
        <v>900000</v>
      </c>
      <c r="I37" s="107">
        <f t="shared" ref="I37:I38" si="25">H37*$I$3</f>
        <v>864000</v>
      </c>
      <c r="J37" s="48">
        <f t="shared" ref="J37:J38" si="26">I37*D37</f>
        <v>302400</v>
      </c>
      <c r="K37" s="109"/>
      <c r="L37" s="110"/>
      <c r="M37" s="129"/>
      <c r="N37" s="109"/>
      <c r="O37" s="110"/>
      <c r="P37" s="129"/>
      <c r="Q37" s="50">
        <f t="shared" si="21"/>
        <v>593753.65</v>
      </c>
      <c r="R37" s="100"/>
      <c r="S37" s="143"/>
      <c r="T37" s="53">
        <f t="shared" si="22"/>
        <v>593753.65</v>
      </c>
    </row>
    <row r="38" ht="13.5" customHeight="1">
      <c r="A38" s="54" t="s">
        <v>83</v>
      </c>
      <c r="B38" s="55">
        <v>35424.0</v>
      </c>
      <c r="C38" s="56" t="s">
        <v>84</v>
      </c>
      <c r="D38" s="57">
        <v>0.35</v>
      </c>
      <c r="E38" s="322">
        <v>648000.0</v>
      </c>
      <c r="F38" s="59">
        <f t="shared" si="23"/>
        <v>226800</v>
      </c>
      <c r="G38" s="321">
        <v>44.0</v>
      </c>
      <c r="H38" s="107">
        <f t="shared" si="24"/>
        <v>528000</v>
      </c>
      <c r="I38" s="61">
        <f t="shared" si="25"/>
        <v>506880</v>
      </c>
      <c r="J38" s="62">
        <f t="shared" si="26"/>
        <v>177408</v>
      </c>
      <c r="K38" s="63"/>
      <c r="L38" s="64"/>
      <c r="M38" s="65"/>
      <c r="N38" s="63"/>
      <c r="O38" s="64"/>
      <c r="P38" s="65"/>
      <c r="Q38" s="50">
        <f t="shared" si="21"/>
        <v>404208</v>
      </c>
      <c r="R38" s="66"/>
      <c r="S38" s="192">
        <f>Q39</f>
        <v>24500</v>
      </c>
      <c r="T38" s="68">
        <f t="shared" si="22"/>
        <v>404208</v>
      </c>
    </row>
    <row r="39" ht="13.5" customHeight="1">
      <c r="A39" s="193" t="s">
        <v>85</v>
      </c>
      <c r="B39" s="144">
        <v>7409.0</v>
      </c>
      <c r="C39" s="145" t="s">
        <v>86</v>
      </c>
      <c r="D39" s="194">
        <v>0.35</v>
      </c>
      <c r="E39" s="322">
        <v>70000.0</v>
      </c>
      <c r="F39" s="195">
        <f t="shared" si="23"/>
        <v>24500</v>
      </c>
      <c r="G39" s="148"/>
      <c r="H39" s="94"/>
      <c r="I39" s="94"/>
      <c r="J39" s="149"/>
      <c r="K39" s="93"/>
      <c r="L39" s="94"/>
      <c r="M39" s="196"/>
      <c r="N39" s="93"/>
      <c r="O39" s="94"/>
      <c r="P39" s="196"/>
      <c r="Q39" s="50">
        <f t="shared" si="21"/>
        <v>24500</v>
      </c>
      <c r="R39" s="96"/>
      <c r="S39" s="67">
        <f>Q39</f>
        <v>24500</v>
      </c>
      <c r="T39" s="68">
        <f t="shared" si="22"/>
        <v>24500</v>
      </c>
    </row>
    <row r="40" ht="13.5" customHeight="1">
      <c r="A40" s="38" t="s">
        <v>87</v>
      </c>
      <c r="B40" s="197">
        <v>19935.0</v>
      </c>
      <c r="C40" s="198" t="s">
        <v>88</v>
      </c>
      <c r="D40" s="41">
        <v>0.35</v>
      </c>
      <c r="E40" s="199"/>
      <c r="F40" s="46">
        <f t="shared" si="23"/>
        <v>0</v>
      </c>
      <c r="G40" s="44">
        <v>44.0</v>
      </c>
      <c r="H40" s="45">
        <f>G40*$H$3</f>
        <v>528000</v>
      </c>
      <c r="I40" s="45">
        <f>H40*$I$3</f>
        <v>506880</v>
      </c>
      <c r="J40" s="46">
        <f>I40*D40</f>
        <v>177408</v>
      </c>
      <c r="K40" s="47"/>
      <c r="L40" s="107">
        <f>K40*$L$3</f>
        <v>0</v>
      </c>
      <c r="M40" s="48">
        <f>L40*D40</f>
        <v>0</v>
      </c>
      <c r="N40" s="47"/>
      <c r="O40" s="107">
        <f t="shared" ref="O40:O41" si="27">N40*$O$3</f>
        <v>0</v>
      </c>
      <c r="P40" s="48">
        <f t="shared" ref="P40:P41" si="28">O40*$D40</f>
        <v>0</v>
      </c>
      <c r="Q40" s="50">
        <f t="shared" si="21"/>
        <v>177408</v>
      </c>
      <c r="R40" s="200"/>
      <c r="S40" s="52"/>
      <c r="T40" s="137">
        <f t="shared" si="22"/>
        <v>177408</v>
      </c>
    </row>
    <row r="41" ht="13.5" customHeight="1">
      <c r="A41" s="103" t="s">
        <v>87</v>
      </c>
      <c r="B41" s="175">
        <v>2130.0</v>
      </c>
      <c r="C41" s="176" t="s">
        <v>89</v>
      </c>
      <c r="D41" s="166">
        <v>0.35</v>
      </c>
      <c r="E41" s="201"/>
      <c r="F41" s="48">
        <f t="shared" si="23"/>
        <v>0</v>
      </c>
      <c r="G41" s="113"/>
      <c r="H41" s="110"/>
      <c r="I41" s="110"/>
      <c r="J41" s="114"/>
      <c r="K41" s="109"/>
      <c r="L41" s="110"/>
      <c r="M41" s="111"/>
      <c r="N41" s="108"/>
      <c r="O41" s="107">
        <f t="shared" si="27"/>
        <v>0</v>
      </c>
      <c r="P41" s="48">
        <f t="shared" si="28"/>
        <v>0</v>
      </c>
      <c r="Q41" s="50">
        <f t="shared" si="21"/>
        <v>0</v>
      </c>
      <c r="R41" s="202"/>
      <c r="S41" s="203"/>
      <c r="T41" s="204">
        <f t="shared" si="22"/>
        <v>0</v>
      </c>
    </row>
    <row r="42" ht="13.5" customHeight="1">
      <c r="A42" s="103" t="s">
        <v>87</v>
      </c>
      <c r="B42" s="175">
        <v>5197.0</v>
      </c>
      <c r="C42" s="176" t="s">
        <v>90</v>
      </c>
      <c r="D42" s="166">
        <v>0.35</v>
      </c>
      <c r="E42" s="201"/>
      <c r="F42" s="48">
        <f t="shared" si="23"/>
        <v>0</v>
      </c>
      <c r="G42" s="113"/>
      <c r="H42" s="110"/>
      <c r="I42" s="110"/>
      <c r="J42" s="114"/>
      <c r="K42" s="109"/>
      <c r="L42" s="110"/>
      <c r="M42" s="111"/>
      <c r="N42" s="205"/>
      <c r="O42" s="206"/>
      <c r="P42" s="207"/>
      <c r="Q42" s="50">
        <f t="shared" si="21"/>
        <v>0</v>
      </c>
      <c r="R42" s="202"/>
      <c r="S42" s="203"/>
      <c r="T42" s="204">
        <f t="shared" si="22"/>
        <v>0</v>
      </c>
    </row>
    <row r="43" ht="13.5" customHeight="1">
      <c r="A43" s="103" t="s">
        <v>87</v>
      </c>
      <c r="B43" s="104">
        <v>25881.0</v>
      </c>
      <c r="C43" s="105" t="s">
        <v>91</v>
      </c>
      <c r="D43" s="166">
        <v>0.35</v>
      </c>
      <c r="E43" s="320">
        <v>78600.0</v>
      </c>
      <c r="F43" s="48">
        <f t="shared" si="23"/>
        <v>27510</v>
      </c>
      <c r="G43" s="113"/>
      <c r="H43" s="110"/>
      <c r="I43" s="110"/>
      <c r="J43" s="114"/>
      <c r="K43" s="109"/>
      <c r="L43" s="110"/>
      <c r="M43" s="111"/>
      <c r="N43" s="109"/>
      <c r="O43" s="110"/>
      <c r="P43" s="208"/>
      <c r="Q43" s="50">
        <f t="shared" si="21"/>
        <v>27510</v>
      </c>
      <c r="R43" s="202"/>
      <c r="S43" s="203"/>
      <c r="T43" s="204">
        <f t="shared" si="22"/>
        <v>27510</v>
      </c>
    </row>
    <row r="44" ht="13.5" customHeight="1">
      <c r="A44" s="54" t="s">
        <v>92</v>
      </c>
      <c r="B44" s="55">
        <v>7829.0</v>
      </c>
      <c r="C44" s="56" t="s">
        <v>93</v>
      </c>
      <c r="D44" s="57">
        <v>0.35</v>
      </c>
      <c r="E44" s="322">
        <v>60300.0</v>
      </c>
      <c r="F44" s="62">
        <f t="shared" si="23"/>
        <v>21105</v>
      </c>
      <c r="G44" s="60">
        <v>12.0</v>
      </c>
      <c r="H44" s="61">
        <f t="shared" ref="H44:H46" si="29">G44*$H$3</f>
        <v>144000</v>
      </c>
      <c r="I44" s="61">
        <f t="shared" ref="I44:I46" si="30">H44*$I$3</f>
        <v>138240</v>
      </c>
      <c r="J44" s="62">
        <f t="shared" ref="J44:J46" si="31">I44*D44</f>
        <v>48384</v>
      </c>
      <c r="K44" s="63"/>
      <c r="L44" s="64"/>
      <c r="M44" s="111"/>
      <c r="N44" s="63"/>
      <c r="O44" s="64"/>
      <c r="P44" s="209"/>
      <c r="Q44" s="50">
        <f t="shared" si="21"/>
        <v>69489</v>
      </c>
      <c r="R44" s="210"/>
      <c r="S44" s="151">
        <f>SUM(Q40:Q44)</f>
        <v>274407</v>
      </c>
      <c r="T44" s="204">
        <f t="shared" si="22"/>
        <v>69489</v>
      </c>
    </row>
    <row r="45" ht="13.5" customHeight="1">
      <c r="A45" s="103" t="s">
        <v>94</v>
      </c>
      <c r="B45" s="39">
        <v>20865.0</v>
      </c>
      <c r="C45" s="40" t="s">
        <v>95</v>
      </c>
      <c r="D45" s="41">
        <v>0.35</v>
      </c>
      <c r="E45" s="320">
        <f>75529.47+416540</f>
        <v>492069.47</v>
      </c>
      <c r="F45" s="46">
        <f t="shared" si="23"/>
        <v>172224.3145</v>
      </c>
      <c r="G45" s="321">
        <v>20.0</v>
      </c>
      <c r="H45" s="107">
        <f t="shared" si="29"/>
        <v>240000</v>
      </c>
      <c r="I45" s="45">
        <f t="shared" si="30"/>
        <v>230400</v>
      </c>
      <c r="J45" s="46">
        <f t="shared" si="31"/>
        <v>80640</v>
      </c>
      <c r="K45" s="127"/>
      <c r="L45" s="128"/>
      <c r="M45" s="129"/>
      <c r="N45" s="127"/>
      <c r="O45" s="128"/>
      <c r="P45" s="129"/>
      <c r="Q45" s="50">
        <f t="shared" si="21"/>
        <v>252864.3145</v>
      </c>
      <c r="R45" s="100"/>
      <c r="S45" s="143"/>
      <c r="T45" s="53">
        <f t="shared" si="22"/>
        <v>252864.3145</v>
      </c>
    </row>
    <row r="46" ht="13.5" customHeight="1">
      <c r="A46" s="103" t="s">
        <v>94</v>
      </c>
      <c r="B46" s="104">
        <v>28983.0</v>
      </c>
      <c r="C46" s="105" t="s">
        <v>96</v>
      </c>
      <c r="D46" s="166">
        <v>0.35</v>
      </c>
      <c r="E46" s="322">
        <f>297000+892500</f>
        <v>1189500</v>
      </c>
      <c r="F46" s="48">
        <f t="shared" si="23"/>
        <v>416325</v>
      </c>
      <c r="G46" s="321">
        <v>12.0</v>
      </c>
      <c r="H46" s="107">
        <f t="shared" si="29"/>
        <v>144000</v>
      </c>
      <c r="I46" s="107">
        <f t="shared" si="30"/>
        <v>138240</v>
      </c>
      <c r="J46" s="48">
        <f t="shared" si="31"/>
        <v>48384</v>
      </c>
      <c r="K46" s="109"/>
      <c r="L46" s="110"/>
      <c r="M46" s="111"/>
      <c r="N46" s="109"/>
      <c r="O46" s="110"/>
      <c r="P46" s="111"/>
      <c r="Q46" s="50">
        <f t="shared" si="21"/>
        <v>464709</v>
      </c>
      <c r="R46" s="112"/>
      <c r="S46" s="160"/>
      <c r="T46" s="102">
        <f t="shared" si="22"/>
        <v>464709</v>
      </c>
    </row>
    <row r="47" ht="13.5" customHeight="1">
      <c r="A47" s="54" t="s">
        <v>97</v>
      </c>
      <c r="B47" s="55">
        <v>23627.0</v>
      </c>
      <c r="C47" s="56" t="s">
        <v>98</v>
      </c>
      <c r="D47" s="57">
        <v>0.35</v>
      </c>
      <c r="E47" s="320">
        <v>360000.0</v>
      </c>
      <c r="F47" s="59">
        <f t="shared" si="23"/>
        <v>126000</v>
      </c>
      <c r="G47" s="152"/>
      <c r="H47" s="64"/>
      <c r="I47" s="64"/>
      <c r="J47" s="153"/>
      <c r="K47" s="63"/>
      <c r="L47" s="64"/>
      <c r="M47" s="65"/>
      <c r="N47" s="63"/>
      <c r="O47" s="64"/>
      <c r="P47" s="65"/>
      <c r="Q47" s="50">
        <f t="shared" si="21"/>
        <v>126000</v>
      </c>
      <c r="R47" s="66"/>
      <c r="S47" s="151">
        <f>SUM(Q45:Q47)</f>
        <v>843573.3145</v>
      </c>
      <c r="T47" s="68">
        <f t="shared" si="22"/>
        <v>126000</v>
      </c>
    </row>
    <row r="48" ht="13.5" customHeight="1">
      <c r="A48" s="103" t="s">
        <v>99</v>
      </c>
      <c r="B48" s="39">
        <v>16905.0</v>
      </c>
      <c r="C48" s="40" t="s">
        <v>100</v>
      </c>
      <c r="D48" s="41">
        <v>0.3</v>
      </c>
      <c r="E48" s="212"/>
      <c r="F48" s="46">
        <f t="shared" si="23"/>
        <v>0</v>
      </c>
      <c r="G48" s="321">
        <v>7.0</v>
      </c>
      <c r="H48" s="107">
        <f t="shared" ref="H48:H50" si="32">G48*$H$3</f>
        <v>84000</v>
      </c>
      <c r="I48" s="45">
        <f t="shared" ref="I48:I50" si="33">H48*$I$3</f>
        <v>80640</v>
      </c>
      <c r="J48" s="46">
        <f t="shared" ref="J48:J50" si="34">I48*D48</f>
        <v>24192</v>
      </c>
      <c r="K48" s="109"/>
      <c r="L48" s="110"/>
      <c r="M48" s="111"/>
      <c r="N48" s="109"/>
      <c r="O48" s="110"/>
      <c r="P48" s="111"/>
      <c r="Q48" s="50">
        <f t="shared" si="21"/>
        <v>24192</v>
      </c>
      <c r="R48" s="100"/>
      <c r="S48" s="130"/>
      <c r="T48" s="53">
        <f t="shared" si="22"/>
        <v>24192</v>
      </c>
    </row>
    <row r="49" ht="13.5" customHeight="1">
      <c r="A49" s="103" t="s">
        <v>99</v>
      </c>
      <c r="B49" s="104">
        <v>22467.0</v>
      </c>
      <c r="C49" s="105" t="s">
        <v>101</v>
      </c>
      <c r="D49" s="166">
        <v>0.3</v>
      </c>
      <c r="E49" s="322">
        <v>1173100.0</v>
      </c>
      <c r="F49" s="48">
        <f t="shared" si="23"/>
        <v>351930</v>
      </c>
      <c r="G49" s="321">
        <v>134.0</v>
      </c>
      <c r="H49" s="107">
        <f t="shared" si="32"/>
        <v>1608000</v>
      </c>
      <c r="I49" s="107">
        <f t="shared" si="33"/>
        <v>1543680</v>
      </c>
      <c r="J49" s="48">
        <f t="shared" si="34"/>
        <v>463104</v>
      </c>
      <c r="K49" s="109"/>
      <c r="L49" s="110"/>
      <c r="M49" s="111"/>
      <c r="N49" s="109"/>
      <c r="O49" s="110"/>
      <c r="P49" s="111"/>
      <c r="Q49" s="50">
        <f t="shared" si="21"/>
        <v>815034</v>
      </c>
      <c r="R49" s="112"/>
      <c r="S49" s="180"/>
      <c r="T49" s="102">
        <f t="shared" si="22"/>
        <v>815034</v>
      </c>
    </row>
    <row r="50" ht="13.5" customHeight="1">
      <c r="A50" s="103" t="s">
        <v>99</v>
      </c>
      <c r="B50" s="104">
        <v>24168.0</v>
      </c>
      <c r="C50" s="105" t="s">
        <v>102</v>
      </c>
      <c r="D50" s="166">
        <v>0.35</v>
      </c>
      <c r="E50" s="320">
        <v>169400.0</v>
      </c>
      <c r="F50" s="48">
        <f t="shared" si="23"/>
        <v>59290</v>
      </c>
      <c r="G50" s="321">
        <v>17.0</v>
      </c>
      <c r="H50" s="107">
        <f t="shared" si="32"/>
        <v>204000</v>
      </c>
      <c r="I50" s="107">
        <f t="shared" si="33"/>
        <v>195840</v>
      </c>
      <c r="J50" s="48">
        <f t="shared" si="34"/>
        <v>68544</v>
      </c>
      <c r="K50" s="109"/>
      <c r="L50" s="110"/>
      <c r="M50" s="111"/>
      <c r="N50" s="109"/>
      <c r="O50" s="110"/>
      <c r="P50" s="111"/>
      <c r="Q50" s="50">
        <f t="shared" si="21"/>
        <v>127834</v>
      </c>
      <c r="R50" s="112"/>
      <c r="S50" s="180"/>
      <c r="T50" s="102">
        <f t="shared" si="22"/>
        <v>127834</v>
      </c>
    </row>
    <row r="51" ht="13.5" customHeight="1">
      <c r="A51" s="103" t="s">
        <v>99</v>
      </c>
      <c r="B51" s="104">
        <v>29857.0</v>
      </c>
      <c r="C51" s="105" t="s">
        <v>103</v>
      </c>
      <c r="D51" s="166">
        <v>0.35</v>
      </c>
      <c r="E51" s="320">
        <v>270000.0</v>
      </c>
      <c r="F51" s="48">
        <f t="shared" si="23"/>
        <v>94500</v>
      </c>
      <c r="G51" s="113"/>
      <c r="H51" s="110"/>
      <c r="I51" s="110"/>
      <c r="J51" s="114"/>
      <c r="K51" s="109"/>
      <c r="L51" s="110"/>
      <c r="M51" s="111"/>
      <c r="N51" s="109"/>
      <c r="O51" s="110"/>
      <c r="P51" s="111"/>
      <c r="Q51" s="50">
        <f t="shared" si="21"/>
        <v>94500</v>
      </c>
      <c r="R51" s="112"/>
      <c r="S51" s="180"/>
      <c r="T51" s="102">
        <f t="shared" si="22"/>
        <v>94500</v>
      </c>
    </row>
    <row r="52" ht="13.5" customHeight="1">
      <c r="A52" s="103" t="s">
        <v>104</v>
      </c>
      <c r="B52" s="55">
        <v>23995.0</v>
      </c>
      <c r="C52" s="56" t="s">
        <v>105</v>
      </c>
      <c r="D52" s="57">
        <v>0.35</v>
      </c>
      <c r="E52" s="320">
        <v>460200.0</v>
      </c>
      <c r="F52" s="59">
        <f t="shared" si="23"/>
        <v>161070</v>
      </c>
      <c r="G52" s="321">
        <v>51.0</v>
      </c>
      <c r="H52" s="107">
        <f>G52*$H$3</f>
        <v>612000</v>
      </c>
      <c r="I52" s="61">
        <f>H52*$I$3</f>
        <v>587520</v>
      </c>
      <c r="J52" s="62">
        <f>I52*D52</f>
        <v>205632</v>
      </c>
      <c r="K52" s="63"/>
      <c r="L52" s="64"/>
      <c r="M52" s="65"/>
      <c r="N52" s="63"/>
      <c r="O52" s="64"/>
      <c r="P52" s="65"/>
      <c r="Q52" s="50">
        <f t="shared" si="21"/>
        <v>366702</v>
      </c>
      <c r="R52" s="66"/>
      <c r="S52" s="67">
        <f>SUM(Q48:Q52)</f>
        <v>1428262</v>
      </c>
      <c r="T52" s="213">
        <f t="shared" si="22"/>
        <v>366702</v>
      </c>
    </row>
    <row r="53" ht="13.5" customHeight="1">
      <c r="A53" s="84" t="s">
        <v>106</v>
      </c>
      <c r="B53" s="144"/>
      <c r="C53" s="86" t="s">
        <v>107</v>
      </c>
      <c r="D53" s="146">
        <v>0.35</v>
      </c>
      <c r="E53" s="212"/>
      <c r="F53" s="195">
        <f t="shared" si="23"/>
        <v>0</v>
      </c>
      <c r="G53" s="148"/>
      <c r="H53" s="94"/>
      <c r="I53" s="94"/>
      <c r="J53" s="149"/>
      <c r="K53" s="93"/>
      <c r="L53" s="94"/>
      <c r="M53" s="95"/>
      <c r="N53" s="93"/>
      <c r="O53" s="94"/>
      <c r="P53" s="95"/>
      <c r="Q53" s="50">
        <f t="shared" si="21"/>
        <v>0</v>
      </c>
      <c r="R53" s="150"/>
      <c r="S53" s="151">
        <f>Q53</f>
        <v>0</v>
      </c>
      <c r="T53" s="97">
        <f t="shared" si="22"/>
        <v>0</v>
      </c>
    </row>
    <row r="54" ht="13.5" customHeight="1">
      <c r="A54" s="38" t="s">
        <v>108</v>
      </c>
      <c r="B54" s="39">
        <v>6445.0</v>
      </c>
      <c r="C54" s="40" t="s">
        <v>109</v>
      </c>
      <c r="D54" s="41">
        <v>0.3</v>
      </c>
      <c r="E54" s="322">
        <v>587000.0</v>
      </c>
      <c r="F54" s="46">
        <f t="shared" si="23"/>
        <v>176100</v>
      </c>
      <c r="G54" s="44">
        <v>19.0</v>
      </c>
      <c r="H54" s="45">
        <f t="shared" ref="H54:H56" si="35">G54*$H$3</f>
        <v>228000</v>
      </c>
      <c r="I54" s="45">
        <f t="shared" ref="I54:I56" si="36">H54*$I$3</f>
        <v>218880</v>
      </c>
      <c r="J54" s="46">
        <f t="shared" ref="J54:J56" si="37">I54*D54</f>
        <v>65664</v>
      </c>
      <c r="K54" s="127"/>
      <c r="L54" s="128"/>
      <c r="M54" s="129"/>
      <c r="N54" s="108">
        <v>41.0</v>
      </c>
      <c r="O54" s="107">
        <f>N54*$O$3</f>
        <v>709300</v>
      </c>
      <c r="P54" s="48">
        <f>O54*$D54</f>
        <v>212790</v>
      </c>
      <c r="Q54" s="50">
        <f t="shared" si="21"/>
        <v>454554</v>
      </c>
      <c r="R54" s="100"/>
      <c r="S54" s="143"/>
      <c r="T54" s="53">
        <f t="shared" si="22"/>
        <v>454554</v>
      </c>
    </row>
    <row r="55" ht="13.5" customHeight="1">
      <c r="A55" s="103" t="s">
        <v>110</v>
      </c>
      <c r="B55" s="55">
        <v>18575.0</v>
      </c>
      <c r="C55" s="56" t="s">
        <v>111</v>
      </c>
      <c r="D55" s="57">
        <v>0.35</v>
      </c>
      <c r="E55" s="320">
        <v>81800.0</v>
      </c>
      <c r="F55" s="62">
        <f t="shared" si="23"/>
        <v>28630</v>
      </c>
      <c r="G55" s="321">
        <v>3.0</v>
      </c>
      <c r="H55" s="61">
        <f t="shared" si="35"/>
        <v>36000</v>
      </c>
      <c r="I55" s="61">
        <f t="shared" si="36"/>
        <v>34560</v>
      </c>
      <c r="J55" s="62">
        <f t="shared" si="37"/>
        <v>12096</v>
      </c>
      <c r="K55" s="63"/>
      <c r="L55" s="64"/>
      <c r="M55" s="65"/>
      <c r="N55" s="63"/>
      <c r="O55" s="64"/>
      <c r="P55" s="65"/>
      <c r="Q55" s="50">
        <f t="shared" si="21"/>
        <v>40726</v>
      </c>
      <c r="R55" s="66"/>
      <c r="S55" s="151">
        <f>SUM(Q54:Q55)</f>
        <v>495280</v>
      </c>
      <c r="T55" s="68">
        <f t="shared" si="22"/>
        <v>40726</v>
      </c>
    </row>
    <row r="56" ht="17.25" customHeight="1">
      <c r="A56" s="215" t="s">
        <v>112</v>
      </c>
      <c r="B56" s="216" t="s">
        <v>113</v>
      </c>
      <c r="C56" s="217" t="s">
        <v>114</v>
      </c>
      <c r="D56" s="126">
        <v>0.2</v>
      </c>
      <c r="E56" s="322">
        <v>189300.0</v>
      </c>
      <c r="F56" s="43">
        <f>(E56+E57)*D56</f>
        <v>264547.888</v>
      </c>
      <c r="G56" s="218"/>
      <c r="H56" s="107">
        <f t="shared" si="35"/>
        <v>0</v>
      </c>
      <c r="I56" s="219">
        <f t="shared" si="36"/>
        <v>0</v>
      </c>
      <c r="J56" s="220">
        <f t="shared" si="37"/>
        <v>0</v>
      </c>
      <c r="K56" s="218"/>
      <c r="L56" s="128"/>
      <c r="M56" s="129"/>
      <c r="N56" s="218"/>
      <c r="O56" s="107">
        <f t="shared" ref="O56:O57" si="38">N56*$O$3</f>
        <v>0</v>
      </c>
      <c r="P56" s="48">
        <f t="shared" ref="P56:P57" si="39">O56*$D56</f>
        <v>0</v>
      </c>
      <c r="Q56" s="50">
        <f t="shared" si="21"/>
        <v>264547.888</v>
      </c>
      <c r="R56" s="100">
        <v>0.5</v>
      </c>
      <c r="S56" s="143"/>
      <c r="T56" s="53">
        <f>S57*R56</f>
        <v>162273.944</v>
      </c>
    </row>
    <row r="57" ht="17.25" customHeight="1">
      <c r="A57" s="221" t="s">
        <v>115</v>
      </c>
      <c r="B57" s="216" t="s">
        <v>113</v>
      </c>
      <c r="C57" s="222" t="s">
        <v>116</v>
      </c>
      <c r="D57" s="223"/>
      <c r="E57" s="320">
        <v>1133439.44</v>
      </c>
      <c r="F57" s="59"/>
      <c r="G57" s="224"/>
      <c r="H57" s="107"/>
      <c r="I57" s="225"/>
      <c r="J57" s="226"/>
      <c r="K57" s="224"/>
      <c r="L57" s="64"/>
      <c r="M57" s="65"/>
      <c r="N57" s="224"/>
      <c r="O57" s="107">
        <f t="shared" si="38"/>
        <v>0</v>
      </c>
      <c r="P57" s="48">
        <f t="shared" si="39"/>
        <v>0</v>
      </c>
      <c r="Q57" s="227">
        <v>60000.0</v>
      </c>
      <c r="R57" s="66">
        <v>0.5</v>
      </c>
      <c r="S57" s="151">
        <f>SUM(Q56:Q57)</f>
        <v>324547.888</v>
      </c>
      <c r="T57" s="68">
        <f>S57*R57</f>
        <v>162273.944</v>
      </c>
    </row>
    <row r="58" ht="13.5" customHeight="1">
      <c r="A58" s="228" t="s">
        <v>117</v>
      </c>
      <c r="B58" s="229"/>
      <c r="C58" s="230" t="s">
        <v>118</v>
      </c>
      <c r="D58" s="231"/>
      <c r="E58" s="232"/>
      <c r="F58" s="232">
        <v>1500000.0</v>
      </c>
      <c r="G58" s="233"/>
      <c r="H58" s="234"/>
      <c r="I58" s="234"/>
      <c r="J58" s="235"/>
      <c r="K58" s="236"/>
      <c r="L58" s="234"/>
      <c r="M58" s="237"/>
      <c r="N58" s="236"/>
      <c r="O58" s="234"/>
      <c r="P58" s="237"/>
      <c r="Q58" s="238">
        <f>F58+J58+M58</f>
        <v>1500000</v>
      </c>
      <c r="R58" s="239"/>
      <c r="S58" s="240">
        <f>Q58</f>
        <v>1500000</v>
      </c>
      <c r="T58" s="97">
        <f>S58</f>
        <v>1500000</v>
      </c>
      <c r="U58" s="124" t="s">
        <v>119</v>
      </c>
    </row>
    <row r="59" ht="13.5" customHeight="1">
      <c r="A59" s="38" t="s">
        <v>120</v>
      </c>
      <c r="B59" s="39">
        <v>17255.0</v>
      </c>
      <c r="C59" s="241" t="s">
        <v>121</v>
      </c>
      <c r="D59" s="41">
        <v>0.35</v>
      </c>
      <c r="E59" s="322">
        <v>66000.0</v>
      </c>
      <c r="F59" s="46">
        <f t="shared" ref="F59:F85" si="40">E59*D59</f>
        <v>23100</v>
      </c>
      <c r="G59" s="44">
        <v>7.0</v>
      </c>
      <c r="H59" s="107">
        <f t="shared" ref="H59:H61" si="41">G59*$H$3</f>
        <v>84000</v>
      </c>
      <c r="I59" s="45">
        <f t="shared" ref="I59:I61" si="42">H59*$I$3</f>
        <v>80640</v>
      </c>
      <c r="J59" s="46">
        <f t="shared" ref="J59:J61" si="43">I59*D59</f>
        <v>28224</v>
      </c>
      <c r="K59" s="127"/>
      <c r="L59" s="128"/>
      <c r="M59" s="129"/>
      <c r="N59" s="127"/>
      <c r="O59" s="128"/>
      <c r="P59" s="129"/>
      <c r="Q59" s="50">
        <f t="shared" ref="Q59:Q82" si="44">F59+J59+M59+P59</f>
        <v>51324</v>
      </c>
      <c r="R59" s="51"/>
      <c r="S59" s="52"/>
      <c r="T59" s="53">
        <f t="shared" ref="T59:T73" si="45">Q59</f>
        <v>51324</v>
      </c>
    </row>
    <row r="60" ht="13.5" customHeight="1">
      <c r="A60" s="103" t="s">
        <v>122</v>
      </c>
      <c r="B60" s="55">
        <v>30027.0</v>
      </c>
      <c r="C60" s="242" t="s">
        <v>123</v>
      </c>
      <c r="D60" s="57">
        <v>0.35</v>
      </c>
      <c r="E60" s="320">
        <v>28000.0</v>
      </c>
      <c r="F60" s="62">
        <f t="shared" si="40"/>
        <v>9800</v>
      </c>
      <c r="G60" s="60">
        <v>3.0</v>
      </c>
      <c r="H60" s="107">
        <f t="shared" si="41"/>
        <v>36000</v>
      </c>
      <c r="I60" s="61">
        <f t="shared" si="42"/>
        <v>34560</v>
      </c>
      <c r="J60" s="62">
        <f t="shared" si="43"/>
        <v>12096</v>
      </c>
      <c r="K60" s="63"/>
      <c r="L60" s="64"/>
      <c r="M60" s="65"/>
      <c r="N60" s="63"/>
      <c r="O60" s="64"/>
      <c r="P60" s="65"/>
      <c r="Q60" s="50">
        <f t="shared" si="44"/>
        <v>21896</v>
      </c>
      <c r="R60" s="243"/>
      <c r="S60" s="151">
        <f>SUM(Q59:Q60)</f>
        <v>73220</v>
      </c>
      <c r="T60" s="68">
        <f t="shared" si="45"/>
        <v>21896</v>
      </c>
    </row>
    <row r="61" ht="13.5" customHeight="1">
      <c r="A61" s="84" t="s">
        <v>124</v>
      </c>
      <c r="B61" s="144">
        <v>18392.0</v>
      </c>
      <c r="C61" s="145" t="s">
        <v>125</v>
      </c>
      <c r="D61" s="146">
        <v>0.35</v>
      </c>
      <c r="E61" s="322">
        <v>473500.0</v>
      </c>
      <c r="F61" s="195">
        <f t="shared" si="40"/>
        <v>165725</v>
      </c>
      <c r="G61" s="245">
        <v>9.0</v>
      </c>
      <c r="H61" s="246">
        <f t="shared" si="41"/>
        <v>108000</v>
      </c>
      <c r="I61" s="246">
        <f t="shared" si="42"/>
        <v>103680</v>
      </c>
      <c r="J61" s="195">
        <f t="shared" si="43"/>
        <v>36288</v>
      </c>
      <c r="K61" s="93"/>
      <c r="L61" s="94"/>
      <c r="M61" s="95"/>
      <c r="N61" s="93"/>
      <c r="O61" s="94"/>
      <c r="P61" s="95"/>
      <c r="Q61" s="50">
        <f t="shared" si="44"/>
        <v>202013</v>
      </c>
      <c r="R61" s="96"/>
      <c r="S61" s="67">
        <f>Q61</f>
        <v>202013</v>
      </c>
      <c r="T61" s="192">
        <f t="shared" si="45"/>
        <v>202013</v>
      </c>
    </row>
    <row r="62">
      <c r="A62" s="103" t="s">
        <v>126</v>
      </c>
      <c r="B62" s="39">
        <v>26199.0</v>
      </c>
      <c r="C62" s="40" t="s">
        <v>127</v>
      </c>
      <c r="D62" s="41">
        <v>0.35</v>
      </c>
      <c r="E62" s="320">
        <v>325000.0</v>
      </c>
      <c r="F62" s="46">
        <f t="shared" si="40"/>
        <v>113750</v>
      </c>
      <c r="G62" s="141"/>
      <c r="H62" s="128"/>
      <c r="I62" s="128"/>
      <c r="J62" s="142"/>
      <c r="K62" s="127"/>
      <c r="L62" s="128"/>
      <c r="M62" s="129"/>
      <c r="N62" s="108">
        <v>2.0</v>
      </c>
      <c r="O62" s="107">
        <f t="shared" ref="O62:O64" si="46">N62*$O$3</f>
        <v>34600</v>
      </c>
      <c r="P62" s="48">
        <f t="shared" ref="P62:P64" si="47">O62*$D62</f>
        <v>12110</v>
      </c>
      <c r="Q62" s="50">
        <f t="shared" si="44"/>
        <v>125860</v>
      </c>
      <c r="R62" s="100"/>
      <c r="S62" s="52"/>
      <c r="T62" s="137">
        <f t="shared" si="45"/>
        <v>125860</v>
      </c>
    </row>
    <row r="63">
      <c r="A63" s="103" t="s">
        <v>126</v>
      </c>
      <c r="B63" s="104">
        <v>33763.0</v>
      </c>
      <c r="C63" s="105" t="s">
        <v>128</v>
      </c>
      <c r="D63" s="166">
        <v>0.35</v>
      </c>
      <c r="E63" s="320">
        <v>150000.0</v>
      </c>
      <c r="F63" s="48">
        <f t="shared" si="40"/>
        <v>52500</v>
      </c>
      <c r="G63" s="113"/>
      <c r="H63" s="110"/>
      <c r="I63" s="110"/>
      <c r="J63" s="114"/>
      <c r="K63" s="109"/>
      <c r="L63" s="110"/>
      <c r="M63" s="111"/>
      <c r="N63" s="108"/>
      <c r="O63" s="107">
        <f t="shared" si="46"/>
        <v>0</v>
      </c>
      <c r="P63" s="48">
        <f t="shared" si="47"/>
        <v>0</v>
      </c>
      <c r="Q63" s="50">
        <f t="shared" si="44"/>
        <v>52500</v>
      </c>
      <c r="R63" s="112"/>
      <c r="S63" s="52"/>
      <c r="T63" s="204">
        <f t="shared" si="45"/>
        <v>52500</v>
      </c>
    </row>
    <row r="64" ht="13.5" customHeight="1">
      <c r="A64" s="103" t="s">
        <v>126</v>
      </c>
      <c r="B64" s="55">
        <v>40924.0</v>
      </c>
      <c r="C64" s="56" t="s">
        <v>129</v>
      </c>
      <c r="D64" s="57">
        <v>0.35</v>
      </c>
      <c r="E64" s="322">
        <v>50000.0</v>
      </c>
      <c r="F64" s="62">
        <f t="shared" si="40"/>
        <v>17500</v>
      </c>
      <c r="G64" s="152"/>
      <c r="H64" s="64"/>
      <c r="I64" s="64"/>
      <c r="J64" s="153"/>
      <c r="K64" s="63"/>
      <c r="L64" s="64"/>
      <c r="M64" s="65"/>
      <c r="N64" s="108"/>
      <c r="O64" s="107">
        <f t="shared" si="46"/>
        <v>0</v>
      </c>
      <c r="P64" s="48">
        <f t="shared" si="47"/>
        <v>0</v>
      </c>
      <c r="Q64" s="50">
        <f t="shared" si="44"/>
        <v>17500</v>
      </c>
      <c r="R64" s="66"/>
      <c r="S64" s="67">
        <f>SUM(Q62:Q64)</f>
        <v>195860</v>
      </c>
      <c r="T64" s="213">
        <f t="shared" si="45"/>
        <v>17500</v>
      </c>
    </row>
    <row r="65" ht="13.5" customHeight="1">
      <c r="A65" s="38" t="s">
        <v>130</v>
      </c>
      <c r="B65" s="39">
        <v>27071.0</v>
      </c>
      <c r="C65" s="241" t="s">
        <v>131</v>
      </c>
      <c r="D65" s="41">
        <v>0.35</v>
      </c>
      <c r="E65" s="320">
        <v>386900.0</v>
      </c>
      <c r="F65" s="46">
        <f t="shared" si="40"/>
        <v>135415</v>
      </c>
      <c r="G65" s="44">
        <v>6.0</v>
      </c>
      <c r="H65" s="107">
        <f>G66*$H$3</f>
        <v>0</v>
      </c>
      <c r="I65" s="45">
        <f>H65*$I$3</f>
        <v>0</v>
      </c>
      <c r="J65" s="46">
        <f>I65*D65</f>
        <v>0</v>
      </c>
      <c r="K65" s="127"/>
      <c r="L65" s="128"/>
      <c r="M65" s="129"/>
      <c r="N65" s="127"/>
      <c r="O65" s="128"/>
      <c r="P65" s="129"/>
      <c r="Q65" s="50">
        <f t="shared" si="44"/>
        <v>135415</v>
      </c>
      <c r="R65" s="51"/>
      <c r="S65" s="247"/>
      <c r="T65" s="137">
        <f t="shared" si="45"/>
        <v>135415</v>
      </c>
    </row>
    <row r="66" ht="13.5" customHeight="1">
      <c r="A66" s="103" t="s">
        <v>132</v>
      </c>
      <c r="B66" s="104">
        <v>32404.0</v>
      </c>
      <c r="C66" s="248" t="s">
        <v>133</v>
      </c>
      <c r="D66" s="166">
        <v>0.35</v>
      </c>
      <c r="E66" s="88"/>
      <c r="F66" s="48">
        <f t="shared" si="40"/>
        <v>0</v>
      </c>
      <c r="G66" s="110"/>
      <c r="H66" s="110"/>
      <c r="I66" s="110"/>
      <c r="J66" s="114"/>
      <c r="K66" s="109"/>
      <c r="L66" s="110"/>
      <c r="M66" s="111"/>
      <c r="N66" s="109"/>
      <c r="O66" s="110"/>
      <c r="P66" s="111"/>
      <c r="Q66" s="50">
        <f t="shared" si="44"/>
        <v>0</v>
      </c>
      <c r="R66" s="249"/>
      <c r="S66" s="67">
        <f>SUM(Q65:Q66)</f>
        <v>135415</v>
      </c>
      <c r="T66" s="204">
        <f t="shared" si="45"/>
        <v>0</v>
      </c>
    </row>
    <row r="67" ht="13.5" customHeight="1">
      <c r="A67" s="84" t="s">
        <v>134</v>
      </c>
      <c r="B67" s="250">
        <v>4977.0</v>
      </c>
      <c r="C67" s="251" t="s">
        <v>135</v>
      </c>
      <c r="D67" s="146">
        <v>0.35</v>
      </c>
      <c r="E67" s="322">
        <v>75000.0</v>
      </c>
      <c r="F67" s="195">
        <f t="shared" si="40"/>
        <v>26250</v>
      </c>
      <c r="G67" s="148"/>
      <c r="H67" s="94"/>
      <c r="I67" s="94"/>
      <c r="J67" s="149"/>
      <c r="K67" s="93"/>
      <c r="L67" s="94"/>
      <c r="M67" s="95"/>
      <c r="N67" s="93"/>
      <c r="O67" s="94"/>
      <c r="P67" s="95"/>
      <c r="Q67" s="50">
        <f t="shared" si="44"/>
        <v>26250</v>
      </c>
      <c r="R67" s="252"/>
      <c r="S67" s="67">
        <f>Q67</f>
        <v>26250</v>
      </c>
      <c r="T67" s="192">
        <f t="shared" si="45"/>
        <v>26250</v>
      </c>
    </row>
    <row r="68" ht="13.5" customHeight="1">
      <c r="A68" s="38" t="s">
        <v>136</v>
      </c>
      <c r="B68" s="39">
        <v>20244.0</v>
      </c>
      <c r="C68" s="241" t="s">
        <v>137</v>
      </c>
      <c r="D68" s="41">
        <v>0.3</v>
      </c>
      <c r="E68" s="322">
        <v>499300.0</v>
      </c>
      <c r="F68" s="48">
        <f t="shared" si="40"/>
        <v>149790</v>
      </c>
      <c r="G68" s="321">
        <v>44.0</v>
      </c>
      <c r="H68" s="107">
        <f>G68*$H$3</f>
        <v>528000</v>
      </c>
      <c r="I68" s="107">
        <f>H68*$I$3</f>
        <v>506880</v>
      </c>
      <c r="J68" s="46">
        <f>I68*D68</f>
        <v>152064</v>
      </c>
      <c r="K68" s="47"/>
      <c r="L68" s="107">
        <f>K68*$L$3</f>
        <v>0</v>
      </c>
      <c r="M68" s="48">
        <f>L68*D68</f>
        <v>0</v>
      </c>
      <c r="N68" s="47">
        <v>11.0</v>
      </c>
      <c r="O68" s="107">
        <f>N68*$O$3</f>
        <v>190300</v>
      </c>
      <c r="P68" s="48">
        <f>O68*$D68</f>
        <v>57090</v>
      </c>
      <c r="Q68" s="50">
        <f t="shared" si="44"/>
        <v>358944</v>
      </c>
      <c r="R68" s="100"/>
      <c r="S68" s="143"/>
      <c r="T68" s="53">
        <f t="shared" si="45"/>
        <v>358944</v>
      </c>
    </row>
    <row r="69" ht="13.5" customHeight="1">
      <c r="A69" s="103" t="s">
        <v>136</v>
      </c>
      <c r="B69" s="104">
        <v>43900.0</v>
      </c>
      <c r="C69" s="248" t="s">
        <v>138</v>
      </c>
      <c r="D69" s="166">
        <v>0.35</v>
      </c>
      <c r="E69" s="320">
        <v>105800.0</v>
      </c>
      <c r="F69" s="48">
        <f t="shared" si="40"/>
        <v>37030</v>
      </c>
      <c r="G69" s="253"/>
      <c r="H69" s="110"/>
      <c r="I69" s="110"/>
      <c r="J69" s="114"/>
      <c r="K69" s="253"/>
      <c r="L69" s="110"/>
      <c r="M69" s="110"/>
      <c r="N69" s="253"/>
      <c r="O69" s="110"/>
      <c r="P69" s="110"/>
      <c r="Q69" s="50">
        <f t="shared" si="44"/>
        <v>37030</v>
      </c>
      <c r="R69" s="112"/>
      <c r="S69" s="160"/>
      <c r="T69" s="102">
        <f t="shared" si="45"/>
        <v>37030</v>
      </c>
    </row>
    <row r="70" ht="13.5" customHeight="1">
      <c r="A70" s="103" t="s">
        <v>136</v>
      </c>
      <c r="B70" s="104">
        <v>41401.0</v>
      </c>
      <c r="C70" s="248" t="s">
        <v>139</v>
      </c>
      <c r="D70" s="166">
        <v>0.35</v>
      </c>
      <c r="E70" s="88"/>
      <c r="F70" s="48">
        <f t="shared" si="40"/>
        <v>0</v>
      </c>
      <c r="G70" s="253"/>
      <c r="H70" s="110"/>
      <c r="I70" s="110"/>
      <c r="J70" s="114"/>
      <c r="K70" s="253"/>
      <c r="L70" s="110"/>
      <c r="M70" s="110"/>
      <c r="N70" s="253"/>
      <c r="O70" s="110"/>
      <c r="P70" s="110"/>
      <c r="Q70" s="50">
        <f t="shared" si="44"/>
        <v>0</v>
      </c>
      <c r="R70" s="112"/>
      <c r="S70" s="160"/>
      <c r="T70" s="102">
        <f t="shared" si="45"/>
        <v>0</v>
      </c>
    </row>
    <row r="71" ht="13.5" customHeight="1">
      <c r="A71" s="103" t="s">
        <v>136</v>
      </c>
      <c r="B71" s="104">
        <v>26782.0</v>
      </c>
      <c r="C71" s="248" t="s">
        <v>140</v>
      </c>
      <c r="D71" s="98">
        <v>0.35</v>
      </c>
      <c r="E71" s="88"/>
      <c r="F71" s="48">
        <f t="shared" si="40"/>
        <v>0</v>
      </c>
      <c r="G71" s="106"/>
      <c r="H71" s="107">
        <f t="shared" ref="H71:H72" si="48">G71*$H$3</f>
        <v>0</v>
      </c>
      <c r="I71" s="107">
        <f t="shared" ref="I71:I72" si="49">H71*$I$3</f>
        <v>0</v>
      </c>
      <c r="J71" s="48">
        <f t="shared" ref="J71:J72" si="50">I71*D71</f>
        <v>0</v>
      </c>
      <c r="K71" s="108"/>
      <c r="L71" s="107">
        <f t="shared" ref="L71:L72" si="51">K71*$L$3</f>
        <v>0</v>
      </c>
      <c r="M71" s="48">
        <f t="shared" ref="M71:M72" si="52">L71*D71</f>
        <v>0</v>
      </c>
      <c r="N71" s="108"/>
      <c r="O71" s="107">
        <f t="shared" ref="O71:O72" si="53">N71*$O$3</f>
        <v>0</v>
      </c>
      <c r="P71" s="48">
        <f t="shared" ref="P71:P72" si="54">O71*$D71</f>
        <v>0</v>
      </c>
      <c r="Q71" s="50">
        <f t="shared" si="44"/>
        <v>0</v>
      </c>
      <c r="R71" s="112"/>
      <c r="S71" s="160"/>
      <c r="T71" s="102">
        <f t="shared" si="45"/>
        <v>0</v>
      </c>
    </row>
    <row r="72" ht="13.5" customHeight="1">
      <c r="A72" s="103" t="s">
        <v>141</v>
      </c>
      <c r="B72" s="104">
        <v>9952.0</v>
      </c>
      <c r="C72" s="248" t="s">
        <v>142</v>
      </c>
      <c r="D72" s="166">
        <v>0.35</v>
      </c>
      <c r="E72" s="320">
        <v>400519.0</v>
      </c>
      <c r="F72" s="48">
        <f t="shared" si="40"/>
        <v>140181.65</v>
      </c>
      <c r="G72" s="321">
        <v>45.0</v>
      </c>
      <c r="H72" s="107">
        <f t="shared" si="48"/>
        <v>540000</v>
      </c>
      <c r="I72" s="107">
        <f t="shared" si="49"/>
        <v>518400</v>
      </c>
      <c r="J72" s="48">
        <f t="shared" si="50"/>
        <v>181440</v>
      </c>
      <c r="K72" s="108">
        <v>1.0</v>
      </c>
      <c r="L72" s="107">
        <f t="shared" si="51"/>
        <v>14606</v>
      </c>
      <c r="M72" s="48">
        <f t="shared" si="52"/>
        <v>5112.1</v>
      </c>
      <c r="N72" s="108">
        <v>9.0</v>
      </c>
      <c r="O72" s="107">
        <f t="shared" si="53"/>
        <v>155700</v>
      </c>
      <c r="P72" s="48">
        <f t="shared" si="54"/>
        <v>54495</v>
      </c>
      <c r="Q72" s="50">
        <f t="shared" si="44"/>
        <v>381228.75</v>
      </c>
      <c r="R72" s="112"/>
      <c r="S72" s="67">
        <f>SUM(Q68:Q72)</f>
        <v>777202.75</v>
      </c>
      <c r="T72" s="102">
        <f t="shared" si="45"/>
        <v>381228.75</v>
      </c>
    </row>
    <row r="73" ht="13.5" customHeight="1">
      <c r="A73" s="84" t="s">
        <v>143</v>
      </c>
      <c r="B73" s="144">
        <v>43265.0</v>
      </c>
      <c r="C73" s="254" t="s">
        <v>144</v>
      </c>
      <c r="D73" s="146">
        <v>0.35</v>
      </c>
      <c r="E73" s="322">
        <v>250000.0</v>
      </c>
      <c r="F73" s="89">
        <f t="shared" si="40"/>
        <v>87500</v>
      </c>
      <c r="G73" s="148"/>
      <c r="H73" s="94"/>
      <c r="I73" s="94"/>
      <c r="J73" s="149"/>
      <c r="K73" s="93"/>
      <c r="L73" s="94"/>
      <c r="M73" s="95"/>
      <c r="N73" s="93"/>
      <c r="O73" s="94"/>
      <c r="P73" s="95"/>
      <c r="Q73" s="50">
        <f t="shared" si="44"/>
        <v>87500</v>
      </c>
      <c r="R73" s="252"/>
      <c r="S73" s="67">
        <f>Q73</f>
        <v>87500</v>
      </c>
      <c r="T73" s="192">
        <f t="shared" si="45"/>
        <v>87500</v>
      </c>
    </row>
    <row r="74" ht="13.5" customHeight="1">
      <c r="A74" s="103" t="s">
        <v>145</v>
      </c>
      <c r="B74" s="104">
        <v>36791.0</v>
      </c>
      <c r="C74" s="248" t="s">
        <v>146</v>
      </c>
      <c r="D74" s="166">
        <v>0.3</v>
      </c>
      <c r="E74" s="322">
        <v>61500.0</v>
      </c>
      <c r="F74" s="48">
        <f t="shared" si="40"/>
        <v>18450</v>
      </c>
      <c r="G74" s="113"/>
      <c r="H74" s="110"/>
      <c r="I74" s="110"/>
      <c r="J74" s="114"/>
      <c r="K74" s="109"/>
      <c r="L74" s="110"/>
      <c r="M74" s="208"/>
      <c r="N74" s="109"/>
      <c r="O74" s="110"/>
      <c r="P74" s="208"/>
      <c r="Q74" s="50">
        <f t="shared" si="44"/>
        <v>18450</v>
      </c>
      <c r="R74" s="255"/>
      <c r="S74" s="203"/>
      <c r="T74" s="102">
        <f t="shared" ref="T74:T79" si="55">$S$79/6</f>
        <v>38275</v>
      </c>
      <c r="U74" s="181" t="s">
        <v>75</v>
      </c>
    </row>
    <row r="75" ht="13.5" customHeight="1">
      <c r="A75" s="103" t="s">
        <v>145</v>
      </c>
      <c r="B75" s="104">
        <v>40985.0</v>
      </c>
      <c r="C75" s="248" t="s">
        <v>147</v>
      </c>
      <c r="D75" s="166">
        <v>0.3</v>
      </c>
      <c r="E75" s="320">
        <v>76000.0</v>
      </c>
      <c r="F75" s="48">
        <f t="shared" si="40"/>
        <v>22800</v>
      </c>
      <c r="G75" s="113"/>
      <c r="H75" s="110"/>
      <c r="I75" s="110"/>
      <c r="J75" s="114"/>
      <c r="K75" s="109"/>
      <c r="L75" s="110"/>
      <c r="M75" s="208"/>
      <c r="N75" s="109"/>
      <c r="O75" s="110"/>
      <c r="P75" s="208"/>
      <c r="Q75" s="50">
        <f t="shared" si="44"/>
        <v>22800</v>
      </c>
      <c r="R75" s="255"/>
      <c r="S75" s="203"/>
      <c r="T75" s="102">
        <f t="shared" si="55"/>
        <v>38275</v>
      </c>
      <c r="U75" s="181" t="s">
        <v>75</v>
      </c>
    </row>
    <row r="76" ht="13.5" customHeight="1">
      <c r="A76" s="103" t="s">
        <v>145</v>
      </c>
      <c r="B76" s="104">
        <v>33699.0</v>
      </c>
      <c r="C76" s="248" t="s">
        <v>148</v>
      </c>
      <c r="D76" s="166">
        <v>0.3</v>
      </c>
      <c r="E76" s="320">
        <v>16000.0</v>
      </c>
      <c r="F76" s="48">
        <f t="shared" si="40"/>
        <v>4800</v>
      </c>
      <c r="G76" s="113"/>
      <c r="H76" s="110"/>
      <c r="I76" s="110"/>
      <c r="J76" s="114"/>
      <c r="K76" s="109"/>
      <c r="L76" s="110"/>
      <c r="M76" s="208"/>
      <c r="N76" s="109"/>
      <c r="O76" s="110"/>
      <c r="P76" s="208"/>
      <c r="Q76" s="50">
        <f t="shared" si="44"/>
        <v>4800</v>
      </c>
      <c r="R76" s="255"/>
      <c r="S76" s="203"/>
      <c r="T76" s="102">
        <f t="shared" si="55"/>
        <v>38275</v>
      </c>
      <c r="U76" s="181" t="s">
        <v>75</v>
      </c>
    </row>
    <row r="77" ht="13.5" customHeight="1">
      <c r="A77" s="103" t="s">
        <v>145</v>
      </c>
      <c r="B77" s="104">
        <v>8308.0</v>
      </c>
      <c r="C77" s="248" t="s">
        <v>149</v>
      </c>
      <c r="D77" s="166">
        <v>0.3</v>
      </c>
      <c r="E77" s="88"/>
      <c r="F77" s="48">
        <f t="shared" si="40"/>
        <v>0</v>
      </c>
      <c r="G77" s="113"/>
      <c r="H77" s="110"/>
      <c r="I77" s="110"/>
      <c r="J77" s="114"/>
      <c r="K77" s="109"/>
      <c r="L77" s="110"/>
      <c r="M77" s="208"/>
      <c r="N77" s="109"/>
      <c r="O77" s="110"/>
      <c r="P77" s="208"/>
      <c r="Q77" s="50">
        <f t="shared" si="44"/>
        <v>0</v>
      </c>
      <c r="R77" s="255"/>
      <c r="S77" s="203"/>
      <c r="T77" s="102">
        <f t="shared" si="55"/>
        <v>38275</v>
      </c>
      <c r="U77" s="181" t="s">
        <v>75</v>
      </c>
    </row>
    <row r="78" ht="13.5" customHeight="1">
      <c r="A78" s="103" t="s">
        <v>145</v>
      </c>
      <c r="B78" s="104">
        <v>42429.0</v>
      </c>
      <c r="C78" s="248" t="s">
        <v>150</v>
      </c>
      <c r="D78" s="166">
        <v>0.3</v>
      </c>
      <c r="E78" s="88"/>
      <c r="F78" s="48">
        <f t="shared" si="40"/>
        <v>0</v>
      </c>
      <c r="G78" s="113"/>
      <c r="H78" s="110"/>
      <c r="I78" s="110"/>
      <c r="J78" s="114"/>
      <c r="K78" s="109"/>
      <c r="L78" s="110"/>
      <c r="M78" s="208"/>
      <c r="N78" s="109"/>
      <c r="O78" s="110"/>
      <c r="P78" s="208"/>
      <c r="Q78" s="50">
        <f t="shared" si="44"/>
        <v>0</v>
      </c>
      <c r="R78" s="255"/>
      <c r="S78" s="203"/>
      <c r="T78" s="102">
        <f t="shared" si="55"/>
        <v>38275</v>
      </c>
      <c r="U78" s="181" t="s">
        <v>75</v>
      </c>
    </row>
    <row r="79" ht="13.5" customHeight="1">
      <c r="A79" s="103" t="s">
        <v>151</v>
      </c>
      <c r="B79" s="104">
        <v>4735.0</v>
      </c>
      <c r="C79" s="248" t="s">
        <v>152</v>
      </c>
      <c r="D79" s="166">
        <v>0.3</v>
      </c>
      <c r="E79" s="320">
        <v>612000.0</v>
      </c>
      <c r="F79" s="48">
        <f t="shared" si="40"/>
        <v>183600</v>
      </c>
      <c r="G79" s="113"/>
      <c r="H79" s="110"/>
      <c r="I79" s="110"/>
      <c r="J79" s="114"/>
      <c r="K79" s="109"/>
      <c r="L79" s="110"/>
      <c r="M79" s="208"/>
      <c r="N79" s="109"/>
      <c r="O79" s="110"/>
      <c r="P79" s="208"/>
      <c r="Q79" s="50">
        <f t="shared" si="44"/>
        <v>183600</v>
      </c>
      <c r="R79" s="255"/>
      <c r="S79" s="151">
        <f>SUM(Q74:Q79)</f>
        <v>229650</v>
      </c>
      <c r="T79" s="102">
        <f t="shared" si="55"/>
        <v>38275</v>
      </c>
    </row>
    <row r="80" ht="13.5" customHeight="1">
      <c r="A80" s="84" t="s">
        <v>153</v>
      </c>
      <c r="B80" s="85">
        <v>3247.0</v>
      </c>
      <c r="C80" s="86" t="s">
        <v>154</v>
      </c>
      <c r="D80" s="146">
        <v>0.35</v>
      </c>
      <c r="E80" s="256"/>
      <c r="F80" s="195">
        <f t="shared" si="40"/>
        <v>0</v>
      </c>
      <c r="G80" s="148"/>
      <c r="H80" s="94"/>
      <c r="I80" s="94"/>
      <c r="J80" s="149"/>
      <c r="K80" s="93"/>
      <c r="L80" s="94"/>
      <c r="M80" s="95"/>
      <c r="N80" s="93"/>
      <c r="O80" s="94"/>
      <c r="P80" s="95"/>
      <c r="Q80" s="50">
        <f t="shared" si="44"/>
        <v>0</v>
      </c>
      <c r="R80" s="96"/>
      <c r="S80" s="67">
        <f>Q80</f>
        <v>0</v>
      </c>
      <c r="T80" s="97">
        <f t="shared" ref="T80:T82" si="56">Q80</f>
        <v>0</v>
      </c>
    </row>
    <row r="81" ht="13.5" customHeight="1">
      <c r="A81" s="38" t="s">
        <v>155</v>
      </c>
      <c r="B81" s="39">
        <v>17171.0</v>
      </c>
      <c r="C81" s="40" t="s">
        <v>156</v>
      </c>
      <c r="D81" s="41">
        <v>0.35</v>
      </c>
      <c r="E81" s="88">
        <v>276000.0</v>
      </c>
      <c r="F81" s="46">
        <f t="shared" si="40"/>
        <v>96600</v>
      </c>
      <c r="G81" s="44">
        <v>25.0</v>
      </c>
      <c r="H81" s="107">
        <f t="shared" ref="H81:H87" si="57">G81*$H$3</f>
        <v>300000</v>
      </c>
      <c r="I81" s="45">
        <f t="shared" ref="I81:I87" si="58">H81*$I$3</f>
        <v>288000</v>
      </c>
      <c r="J81" s="46">
        <f t="shared" ref="J81:J85" si="59">I81*D81</f>
        <v>100800</v>
      </c>
      <c r="K81" s="127"/>
      <c r="L81" s="128"/>
      <c r="M81" s="129"/>
      <c r="N81" s="127"/>
      <c r="O81" s="128"/>
      <c r="P81" s="129"/>
      <c r="Q81" s="50">
        <f t="shared" si="44"/>
        <v>197400</v>
      </c>
      <c r="R81" s="100"/>
      <c r="S81" s="130"/>
      <c r="T81" s="137">
        <f t="shared" si="56"/>
        <v>197400</v>
      </c>
    </row>
    <row r="82" ht="13.5" customHeight="1">
      <c r="A82" s="103" t="s">
        <v>157</v>
      </c>
      <c r="B82" s="55">
        <v>22654.0</v>
      </c>
      <c r="C82" s="56" t="s">
        <v>158</v>
      </c>
      <c r="D82" s="57">
        <v>0.35</v>
      </c>
      <c r="E82" s="322">
        <v>204000.0</v>
      </c>
      <c r="F82" s="62">
        <f t="shared" si="40"/>
        <v>71400</v>
      </c>
      <c r="G82" s="60">
        <v>19.0</v>
      </c>
      <c r="H82" s="107">
        <f t="shared" si="57"/>
        <v>228000</v>
      </c>
      <c r="I82" s="61">
        <f t="shared" si="58"/>
        <v>218880</v>
      </c>
      <c r="J82" s="62">
        <f t="shared" si="59"/>
        <v>76608</v>
      </c>
      <c r="K82" s="63"/>
      <c r="L82" s="64"/>
      <c r="M82" s="65"/>
      <c r="N82" s="63"/>
      <c r="O82" s="64"/>
      <c r="P82" s="65"/>
      <c r="Q82" s="50">
        <f t="shared" si="44"/>
        <v>148008</v>
      </c>
      <c r="R82" s="66"/>
      <c r="S82" s="67">
        <f>SUM(Q81:Q82)</f>
        <v>345408</v>
      </c>
      <c r="T82" s="213">
        <f t="shared" si="56"/>
        <v>148008</v>
      </c>
    </row>
    <row r="83" ht="13.5" customHeight="1">
      <c r="A83" s="38" t="s">
        <v>159</v>
      </c>
      <c r="B83" s="164">
        <v>44669.0</v>
      </c>
      <c r="C83" s="165" t="s">
        <v>160</v>
      </c>
      <c r="D83" s="41">
        <v>0.35</v>
      </c>
      <c r="E83" s="257"/>
      <c r="F83" s="258">
        <f t="shared" si="40"/>
        <v>0</v>
      </c>
      <c r="G83" s="259"/>
      <c r="H83" s="260">
        <f t="shared" si="57"/>
        <v>0</v>
      </c>
      <c r="I83" s="260">
        <f t="shared" si="58"/>
        <v>0</v>
      </c>
      <c r="J83" s="261">
        <f t="shared" si="59"/>
        <v>0</v>
      </c>
      <c r="K83" s="262"/>
      <c r="L83" s="260">
        <f t="shared" ref="L83:L94" si="60">K83*$L$3</f>
        <v>0</v>
      </c>
      <c r="M83" s="261">
        <f t="shared" ref="M83:M85" si="61">L83*D83</f>
        <v>0</v>
      </c>
      <c r="N83" s="127"/>
      <c r="O83" s="128"/>
      <c r="P83" s="129"/>
      <c r="Q83" s="129"/>
      <c r="R83" s="100"/>
      <c r="S83" s="143"/>
      <c r="T83" s="263"/>
    </row>
    <row r="84" ht="13.5" customHeight="1">
      <c r="A84" s="103" t="s">
        <v>159</v>
      </c>
      <c r="B84" s="115">
        <v>44335.0</v>
      </c>
      <c r="C84" s="116" t="s">
        <v>161</v>
      </c>
      <c r="D84" s="166">
        <v>0.35</v>
      </c>
      <c r="E84" s="320">
        <v>20000.0</v>
      </c>
      <c r="F84" s="119">
        <f t="shared" si="40"/>
        <v>7000</v>
      </c>
      <c r="G84" s="120"/>
      <c r="H84" s="121">
        <f t="shared" si="57"/>
        <v>0</v>
      </c>
      <c r="I84" s="121">
        <f t="shared" si="58"/>
        <v>0</v>
      </c>
      <c r="J84" s="122">
        <f t="shared" si="59"/>
        <v>0</v>
      </c>
      <c r="K84" s="123"/>
      <c r="L84" s="121">
        <f t="shared" si="60"/>
        <v>0</v>
      </c>
      <c r="M84" s="122">
        <f t="shared" si="61"/>
        <v>0</v>
      </c>
      <c r="N84" s="109"/>
      <c r="O84" s="110"/>
      <c r="P84" s="111"/>
      <c r="Q84" s="111"/>
      <c r="R84" s="112"/>
      <c r="S84" s="160"/>
      <c r="T84" s="264"/>
    </row>
    <row r="85" ht="13.5" customHeight="1">
      <c r="A85" s="103" t="s">
        <v>159</v>
      </c>
      <c r="B85" s="115">
        <v>44406.0</v>
      </c>
      <c r="C85" s="116" t="s">
        <v>162</v>
      </c>
      <c r="D85" s="166">
        <v>0.35</v>
      </c>
      <c r="E85" s="118"/>
      <c r="F85" s="119">
        <f t="shared" si="40"/>
        <v>0</v>
      </c>
      <c r="G85" s="120"/>
      <c r="H85" s="121">
        <f t="shared" si="57"/>
        <v>0</v>
      </c>
      <c r="I85" s="121">
        <f t="shared" si="58"/>
        <v>0</v>
      </c>
      <c r="J85" s="122">
        <f t="shared" si="59"/>
        <v>0</v>
      </c>
      <c r="K85" s="123"/>
      <c r="L85" s="121">
        <f t="shared" si="60"/>
        <v>0</v>
      </c>
      <c r="M85" s="122">
        <f t="shared" si="61"/>
        <v>0</v>
      </c>
      <c r="N85" s="109"/>
      <c r="O85" s="110"/>
      <c r="P85" s="111"/>
      <c r="Q85" s="111"/>
      <c r="R85" s="112"/>
      <c r="S85" s="160"/>
      <c r="T85" s="264"/>
    </row>
    <row r="86" ht="13.5" customHeight="1">
      <c r="A86" s="103" t="s">
        <v>159</v>
      </c>
      <c r="B86" s="104">
        <v>21759.0</v>
      </c>
      <c r="C86" s="105" t="s">
        <v>163</v>
      </c>
      <c r="D86" s="166">
        <v>0.3</v>
      </c>
      <c r="E86" s="320">
        <v>1364700.0</v>
      </c>
      <c r="F86" s="178">
        <f>(E86*$D$86)+F83+F84+F85</f>
        <v>416410</v>
      </c>
      <c r="G86" s="321">
        <v>80.0</v>
      </c>
      <c r="H86" s="107">
        <f t="shared" si="57"/>
        <v>960000</v>
      </c>
      <c r="I86" s="107">
        <f t="shared" si="58"/>
        <v>921600</v>
      </c>
      <c r="J86" s="265">
        <f>(I86*$D$86)+J83+J84+J85</f>
        <v>276480</v>
      </c>
      <c r="K86" s="321">
        <v>9.0</v>
      </c>
      <c r="L86" s="107">
        <f t="shared" si="60"/>
        <v>131454</v>
      </c>
      <c r="M86" s="265">
        <f>(L86*$D$86)+M83+M84+M85</f>
        <v>39436.2</v>
      </c>
      <c r="N86" s="109"/>
      <c r="O86" s="110"/>
      <c r="P86" s="111"/>
      <c r="Q86" s="179">
        <f t="shared" ref="Q86:Q98" si="62">F86+J86+M86+P86</f>
        <v>732326.2</v>
      </c>
      <c r="R86" s="112"/>
      <c r="S86" s="160"/>
      <c r="T86" s="102">
        <f t="shared" ref="T86:T98" si="63">Q86</f>
        <v>732326.2</v>
      </c>
      <c r="U86" s="124" t="s">
        <v>164</v>
      </c>
    </row>
    <row r="87" ht="13.5" customHeight="1">
      <c r="A87" s="103" t="s">
        <v>159</v>
      </c>
      <c r="B87" s="104">
        <v>29121.0</v>
      </c>
      <c r="C87" s="105" t="s">
        <v>165</v>
      </c>
      <c r="D87" s="166">
        <v>0.35</v>
      </c>
      <c r="E87" s="88"/>
      <c r="F87" s="48">
        <f t="shared" ref="F87:F98" si="64">E87*D87</f>
        <v>0</v>
      </c>
      <c r="G87" s="321">
        <v>16.0</v>
      </c>
      <c r="H87" s="107">
        <f t="shared" si="57"/>
        <v>192000</v>
      </c>
      <c r="I87" s="107">
        <f t="shared" si="58"/>
        <v>184320</v>
      </c>
      <c r="J87" s="48">
        <f>I87*D87</f>
        <v>64512</v>
      </c>
      <c r="K87" s="108"/>
      <c r="L87" s="107">
        <f t="shared" si="60"/>
        <v>0</v>
      </c>
      <c r="M87" s="48">
        <f t="shared" ref="M87:M94" si="65">L87*D87</f>
        <v>0</v>
      </c>
      <c r="N87" s="109"/>
      <c r="O87" s="110"/>
      <c r="P87" s="111"/>
      <c r="Q87" s="50">
        <f t="shared" si="62"/>
        <v>64512</v>
      </c>
      <c r="R87" s="112"/>
      <c r="S87" s="160"/>
      <c r="T87" s="102">
        <f t="shared" si="63"/>
        <v>64512</v>
      </c>
    </row>
    <row r="88" ht="13.5" customHeight="1">
      <c r="A88" s="103" t="s">
        <v>159</v>
      </c>
      <c r="B88" s="104">
        <v>36361.0</v>
      </c>
      <c r="C88" s="105" t="s">
        <v>166</v>
      </c>
      <c r="D88" s="166">
        <v>0.35</v>
      </c>
      <c r="E88" s="320">
        <v>38000.0</v>
      </c>
      <c r="F88" s="48">
        <f t="shared" si="64"/>
        <v>13300</v>
      </c>
      <c r="G88" s="113"/>
      <c r="H88" s="110"/>
      <c r="I88" s="110"/>
      <c r="J88" s="114"/>
      <c r="K88" s="108"/>
      <c r="L88" s="107">
        <f t="shared" si="60"/>
        <v>0</v>
      </c>
      <c r="M88" s="48">
        <f t="shared" si="65"/>
        <v>0</v>
      </c>
      <c r="N88" s="109"/>
      <c r="O88" s="110"/>
      <c r="P88" s="111"/>
      <c r="Q88" s="50">
        <f t="shared" si="62"/>
        <v>13300</v>
      </c>
      <c r="R88" s="112"/>
      <c r="S88" s="160"/>
      <c r="T88" s="102">
        <f t="shared" si="63"/>
        <v>13300</v>
      </c>
    </row>
    <row r="89" ht="13.5" customHeight="1">
      <c r="A89" s="103" t="s">
        <v>159</v>
      </c>
      <c r="B89" s="104">
        <v>42778.0</v>
      </c>
      <c r="C89" s="105" t="s">
        <v>167</v>
      </c>
      <c r="D89" s="266">
        <v>0.35</v>
      </c>
      <c r="E89" s="320">
        <v>32000.0</v>
      </c>
      <c r="F89" s="48">
        <f t="shared" si="64"/>
        <v>11200</v>
      </c>
      <c r="G89" s="113"/>
      <c r="H89" s="110"/>
      <c r="I89" s="110"/>
      <c r="J89" s="114"/>
      <c r="K89" s="108">
        <v>2.0</v>
      </c>
      <c r="L89" s="107">
        <f t="shared" si="60"/>
        <v>29212</v>
      </c>
      <c r="M89" s="48">
        <f t="shared" si="65"/>
        <v>10224.2</v>
      </c>
      <c r="N89" s="109"/>
      <c r="O89" s="110"/>
      <c r="P89" s="111"/>
      <c r="Q89" s="50">
        <f t="shared" si="62"/>
        <v>21424.2</v>
      </c>
      <c r="R89" s="267"/>
      <c r="S89" s="268"/>
      <c r="T89" s="102">
        <f t="shared" si="63"/>
        <v>21424.2</v>
      </c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</row>
    <row r="90" ht="13.5" customHeight="1">
      <c r="A90" s="103" t="s">
        <v>159</v>
      </c>
      <c r="B90" s="104">
        <v>32603.0</v>
      </c>
      <c r="C90" s="105" t="s">
        <v>168</v>
      </c>
      <c r="D90" s="166">
        <v>0.3</v>
      </c>
      <c r="E90" s="320">
        <v>647858.0</v>
      </c>
      <c r="F90" s="48">
        <f t="shared" si="64"/>
        <v>194357.4</v>
      </c>
      <c r="G90" s="113"/>
      <c r="H90" s="110"/>
      <c r="I90" s="110"/>
      <c r="J90" s="114"/>
      <c r="K90" s="108"/>
      <c r="L90" s="107">
        <f t="shared" si="60"/>
        <v>0</v>
      </c>
      <c r="M90" s="48">
        <f t="shared" si="65"/>
        <v>0</v>
      </c>
      <c r="N90" s="109"/>
      <c r="O90" s="110"/>
      <c r="P90" s="111"/>
      <c r="Q90" s="50">
        <f t="shared" si="62"/>
        <v>194357.4</v>
      </c>
      <c r="R90" s="249"/>
      <c r="S90" s="203"/>
      <c r="T90" s="102">
        <f t="shared" si="63"/>
        <v>194357.4</v>
      </c>
    </row>
    <row r="91" ht="13.5" customHeight="1">
      <c r="A91" s="103" t="s">
        <v>159</v>
      </c>
      <c r="B91" s="104">
        <v>33384.0</v>
      </c>
      <c r="C91" s="105" t="s">
        <v>169</v>
      </c>
      <c r="D91" s="166">
        <v>0.35</v>
      </c>
      <c r="E91" s="320">
        <v>378000.0</v>
      </c>
      <c r="F91" s="48">
        <f t="shared" si="64"/>
        <v>132300</v>
      </c>
      <c r="G91" s="321">
        <v>12.0</v>
      </c>
      <c r="H91" s="107">
        <f>G91*$H$3</f>
        <v>144000</v>
      </c>
      <c r="I91" s="107">
        <f>H91*$I$3</f>
        <v>138240</v>
      </c>
      <c r="J91" s="48">
        <f>I91*D91</f>
        <v>48384</v>
      </c>
      <c r="K91" s="108"/>
      <c r="L91" s="107">
        <f t="shared" si="60"/>
        <v>0</v>
      </c>
      <c r="M91" s="48">
        <f t="shared" si="65"/>
        <v>0</v>
      </c>
      <c r="N91" s="109"/>
      <c r="O91" s="110"/>
      <c r="P91" s="111"/>
      <c r="Q91" s="50">
        <f t="shared" si="62"/>
        <v>180684</v>
      </c>
      <c r="R91" s="249"/>
      <c r="S91" s="203"/>
      <c r="T91" s="102">
        <f t="shared" si="63"/>
        <v>180684</v>
      </c>
    </row>
    <row r="92" ht="13.5" customHeight="1">
      <c r="A92" s="103" t="s">
        <v>159</v>
      </c>
      <c r="B92" s="104">
        <v>32786.0</v>
      </c>
      <c r="C92" s="105" t="s">
        <v>170</v>
      </c>
      <c r="D92" s="166">
        <v>0.35</v>
      </c>
      <c r="E92" s="320">
        <v>180000.0</v>
      </c>
      <c r="F92" s="48">
        <f t="shared" si="64"/>
        <v>63000</v>
      </c>
      <c r="G92" s="113"/>
      <c r="H92" s="110"/>
      <c r="I92" s="110"/>
      <c r="J92" s="114"/>
      <c r="K92" s="108"/>
      <c r="L92" s="107">
        <f t="shared" si="60"/>
        <v>0</v>
      </c>
      <c r="M92" s="48">
        <f t="shared" si="65"/>
        <v>0</v>
      </c>
      <c r="N92" s="109"/>
      <c r="O92" s="110"/>
      <c r="P92" s="111"/>
      <c r="Q92" s="50">
        <f t="shared" si="62"/>
        <v>63000</v>
      </c>
      <c r="R92" s="249"/>
      <c r="S92" s="203"/>
      <c r="T92" s="102">
        <f t="shared" si="63"/>
        <v>63000</v>
      </c>
    </row>
    <row r="93" ht="13.5" customHeight="1">
      <c r="A93" s="103" t="s">
        <v>159</v>
      </c>
      <c r="B93" s="104">
        <v>39037.0</v>
      </c>
      <c r="C93" s="105" t="s">
        <v>171</v>
      </c>
      <c r="D93" s="166">
        <v>0.35</v>
      </c>
      <c r="E93" s="320">
        <v>155519.0</v>
      </c>
      <c r="F93" s="48">
        <f t="shared" si="64"/>
        <v>54431.65</v>
      </c>
      <c r="G93" s="113"/>
      <c r="H93" s="110"/>
      <c r="I93" s="110"/>
      <c r="J93" s="114"/>
      <c r="K93" s="108">
        <v>5.0</v>
      </c>
      <c r="L93" s="107">
        <f t="shared" si="60"/>
        <v>73030</v>
      </c>
      <c r="M93" s="48">
        <f t="shared" si="65"/>
        <v>25560.5</v>
      </c>
      <c r="N93" s="109"/>
      <c r="O93" s="110"/>
      <c r="P93" s="111"/>
      <c r="Q93" s="50">
        <f t="shared" si="62"/>
        <v>79992.15</v>
      </c>
      <c r="R93" s="249"/>
      <c r="S93" s="203"/>
      <c r="T93" s="102">
        <f t="shared" si="63"/>
        <v>79992.15</v>
      </c>
    </row>
    <row r="94" ht="13.5" customHeight="1">
      <c r="A94" s="54" t="s">
        <v>172</v>
      </c>
      <c r="B94" s="55">
        <v>29646.0</v>
      </c>
      <c r="C94" s="56" t="s">
        <v>173</v>
      </c>
      <c r="D94" s="57">
        <v>0.35</v>
      </c>
      <c r="E94" s="322">
        <v>285100.0</v>
      </c>
      <c r="F94" s="62">
        <f t="shared" si="64"/>
        <v>99785</v>
      </c>
      <c r="G94" s="152"/>
      <c r="H94" s="64"/>
      <c r="I94" s="64"/>
      <c r="J94" s="153"/>
      <c r="K94" s="321">
        <v>9.0</v>
      </c>
      <c r="L94" s="107">
        <f t="shared" si="60"/>
        <v>131454</v>
      </c>
      <c r="M94" s="48">
        <f t="shared" si="65"/>
        <v>46008.9</v>
      </c>
      <c r="N94" s="109"/>
      <c r="O94" s="110"/>
      <c r="P94" s="111"/>
      <c r="Q94" s="50">
        <f t="shared" si="62"/>
        <v>145793.9</v>
      </c>
      <c r="R94" s="163"/>
      <c r="S94" s="151">
        <f>SUM(Q86:Q94)</f>
        <v>1495389.85</v>
      </c>
      <c r="T94" s="271">
        <f t="shared" si="63"/>
        <v>145793.9</v>
      </c>
    </row>
    <row r="95" ht="13.5" customHeight="1">
      <c r="A95" s="38" t="s">
        <v>174</v>
      </c>
      <c r="B95" s="39">
        <v>21947.0</v>
      </c>
      <c r="C95" s="40" t="s">
        <v>175</v>
      </c>
      <c r="D95" s="41">
        <v>0.35</v>
      </c>
      <c r="E95" s="88"/>
      <c r="F95" s="46">
        <f t="shared" si="64"/>
        <v>0</v>
      </c>
      <c r="G95" s="321">
        <v>32.0</v>
      </c>
      <c r="H95" s="45">
        <f>G95*$H$3</f>
        <v>384000</v>
      </c>
      <c r="I95" s="45">
        <f>H95*$I$3</f>
        <v>368640</v>
      </c>
      <c r="J95" s="46">
        <f>I95*D95</f>
        <v>129024</v>
      </c>
      <c r="K95" s="127"/>
      <c r="L95" s="128"/>
      <c r="M95" s="129"/>
      <c r="N95" s="47">
        <v>4.0</v>
      </c>
      <c r="O95" s="45">
        <f t="shared" ref="O95:O96" si="66">N95*$O$3</f>
        <v>69200</v>
      </c>
      <c r="P95" s="46">
        <f t="shared" ref="P95:P96" si="67">O95*$D95</f>
        <v>24220</v>
      </c>
      <c r="Q95" s="50">
        <f t="shared" si="62"/>
        <v>153244</v>
      </c>
      <c r="R95" s="100"/>
      <c r="S95" s="143"/>
      <c r="T95" s="53">
        <f t="shared" si="63"/>
        <v>153244</v>
      </c>
      <c r="X95" s="124" t="s">
        <v>183</v>
      </c>
    </row>
    <row r="96" ht="13.5" customHeight="1">
      <c r="A96" s="103" t="s">
        <v>174</v>
      </c>
      <c r="B96" s="104">
        <v>30989.0</v>
      </c>
      <c r="C96" s="105" t="s">
        <v>176</v>
      </c>
      <c r="D96" s="166">
        <v>0.35</v>
      </c>
      <c r="E96" s="320">
        <v>119300.0</v>
      </c>
      <c r="F96" s="48">
        <f t="shared" si="64"/>
        <v>41755</v>
      </c>
      <c r="G96" s="113"/>
      <c r="H96" s="110"/>
      <c r="I96" s="110"/>
      <c r="J96" s="114"/>
      <c r="K96" s="109"/>
      <c r="L96" s="110"/>
      <c r="M96" s="111"/>
      <c r="N96" s="108"/>
      <c r="O96" s="107">
        <f t="shared" si="66"/>
        <v>0</v>
      </c>
      <c r="P96" s="48">
        <f t="shared" si="67"/>
        <v>0</v>
      </c>
      <c r="Q96" s="50">
        <f t="shared" si="62"/>
        <v>41755</v>
      </c>
      <c r="R96" s="112"/>
      <c r="S96" s="160"/>
      <c r="T96" s="102">
        <f t="shared" si="63"/>
        <v>41755</v>
      </c>
    </row>
    <row r="97" ht="13.5" customHeight="1">
      <c r="A97" s="103" t="s">
        <v>174</v>
      </c>
      <c r="B97" s="104">
        <v>42606.0</v>
      </c>
      <c r="C97" s="105" t="s">
        <v>177</v>
      </c>
      <c r="D97" s="166">
        <v>0.35</v>
      </c>
      <c r="E97" s="322">
        <v>152000.0</v>
      </c>
      <c r="F97" s="48">
        <f t="shared" si="64"/>
        <v>53200</v>
      </c>
      <c r="G97" s="113"/>
      <c r="H97" s="110"/>
      <c r="I97" s="110"/>
      <c r="J97" s="114"/>
      <c r="K97" s="109"/>
      <c r="L97" s="110"/>
      <c r="M97" s="111"/>
      <c r="N97" s="109"/>
      <c r="O97" s="110"/>
      <c r="P97" s="111"/>
      <c r="Q97" s="50">
        <f t="shared" si="62"/>
        <v>53200</v>
      </c>
      <c r="R97" s="159"/>
      <c r="S97" s="160"/>
      <c r="T97" s="102">
        <f t="shared" si="63"/>
        <v>53200</v>
      </c>
    </row>
    <row r="98" ht="13.5" customHeight="1">
      <c r="A98" s="54" t="s">
        <v>178</v>
      </c>
      <c r="B98" s="55">
        <v>42674.0</v>
      </c>
      <c r="C98" s="56" t="s">
        <v>179</v>
      </c>
      <c r="D98" s="57">
        <v>0.35</v>
      </c>
      <c r="E98" s="320">
        <v>318800.0</v>
      </c>
      <c r="F98" s="62">
        <f t="shared" si="64"/>
        <v>111580</v>
      </c>
      <c r="G98" s="152"/>
      <c r="H98" s="64"/>
      <c r="I98" s="64"/>
      <c r="J98" s="153"/>
      <c r="K98" s="63"/>
      <c r="L98" s="64"/>
      <c r="M98" s="65"/>
      <c r="N98" s="63"/>
      <c r="O98" s="64"/>
      <c r="P98" s="65"/>
      <c r="Q98" s="50">
        <f t="shared" si="62"/>
        <v>111580</v>
      </c>
      <c r="R98" s="163"/>
      <c r="S98" s="151">
        <f>SUM(Q95:Q98)</f>
        <v>359779</v>
      </c>
      <c r="T98" s="68">
        <f t="shared" si="63"/>
        <v>111580</v>
      </c>
    </row>
    <row r="99" ht="13.5" customHeight="1">
      <c r="A99" s="272"/>
      <c r="B99" s="273"/>
      <c r="C99" s="273"/>
      <c r="D99" s="273"/>
      <c r="E99" s="274">
        <f t="shared" ref="E99:F99" si="68">SUM(E4:E52,E54:E98)</f>
        <v>28491357.05</v>
      </c>
      <c r="F99" s="274">
        <f t="shared" si="68"/>
        <v>10791197.82</v>
      </c>
      <c r="G99" s="275"/>
      <c r="H99" s="276"/>
      <c r="I99" s="276"/>
      <c r="J99" s="277">
        <f>SUM(J4:J52,J54:J98)</f>
        <v>4713792</v>
      </c>
      <c r="K99" s="278"/>
      <c r="L99" s="277"/>
      <c r="M99" s="277">
        <f>SUM(M4:M52,M54:M98)</f>
        <v>126341.9</v>
      </c>
      <c r="N99" s="278"/>
      <c r="O99" s="277"/>
      <c r="P99" s="277">
        <f t="shared" ref="P99:Q99" si="69">SUM(P4:P52,P54:P98)</f>
        <v>852890</v>
      </c>
      <c r="Q99" s="277">
        <f t="shared" si="69"/>
        <v>16161425.91</v>
      </c>
      <c r="R99" s="279"/>
      <c r="S99" s="280">
        <f>SUM(S5:S52,S54:S98)</f>
        <v>15187964.26</v>
      </c>
      <c r="T99" s="281">
        <f>SUM(T4:T98)</f>
        <v>16155825.91</v>
      </c>
      <c r="U99" s="282">
        <v>1.3092136E7</v>
      </c>
      <c r="V99" s="283">
        <f>T99-U99</f>
        <v>3063689.913</v>
      </c>
    </row>
    <row r="100" ht="12.75" customHeight="1">
      <c r="A100" s="284"/>
      <c r="B100" s="284"/>
      <c r="C100" s="284"/>
      <c r="D100" s="285"/>
      <c r="E100" s="286"/>
      <c r="F100" s="287"/>
      <c r="G100" s="288"/>
      <c r="H100" s="284"/>
      <c r="I100" s="284"/>
      <c r="J100" s="289"/>
      <c r="K100" s="288"/>
      <c r="L100" s="284"/>
      <c r="M100" s="289"/>
      <c r="N100" s="288"/>
      <c r="O100" s="284"/>
      <c r="P100" s="289"/>
      <c r="Q100" s="284"/>
      <c r="R100" s="284"/>
      <c r="S100" s="290" t="s">
        <v>184</v>
      </c>
      <c r="T100" s="281"/>
    </row>
    <row r="101" ht="12.75" customHeight="1">
      <c r="A101" s="284"/>
      <c r="B101" s="284"/>
      <c r="C101" s="284"/>
      <c r="D101" s="285"/>
      <c r="E101" s="286"/>
      <c r="F101" s="287"/>
      <c r="G101" s="288"/>
      <c r="H101" s="284"/>
      <c r="I101" s="284"/>
      <c r="J101" s="289"/>
      <c r="K101" s="288"/>
      <c r="L101" s="284"/>
      <c r="M101" s="289"/>
      <c r="N101" s="288"/>
      <c r="O101" s="284"/>
      <c r="P101" s="289"/>
      <c r="Q101" s="284"/>
      <c r="R101" s="284"/>
      <c r="S101" s="291"/>
      <c r="T101" s="292"/>
    </row>
    <row r="102" ht="12.75" customHeight="1">
      <c r="D102" s="293"/>
      <c r="E102" s="107"/>
      <c r="F102" s="294"/>
      <c r="G102" s="295"/>
      <c r="J102" s="296"/>
      <c r="K102" s="295"/>
      <c r="M102" s="296"/>
      <c r="N102" s="295"/>
      <c r="P102" s="296"/>
      <c r="S102" s="290"/>
      <c r="T102" s="292"/>
    </row>
    <row r="103" ht="12.75" customHeight="1">
      <c r="D103" s="293"/>
      <c r="E103" s="107"/>
      <c r="F103" s="294"/>
      <c r="G103" s="295"/>
      <c r="J103" s="296"/>
      <c r="K103" s="295"/>
      <c r="M103" s="296"/>
      <c r="N103" s="295"/>
      <c r="P103" s="296"/>
      <c r="S103" s="297"/>
      <c r="T103" s="292"/>
    </row>
    <row r="104" ht="12.75" customHeight="1">
      <c r="D104" s="293"/>
      <c r="E104" s="107"/>
      <c r="F104" s="294"/>
      <c r="G104" s="295"/>
      <c r="J104" s="296"/>
      <c r="K104" s="295"/>
      <c r="M104" s="296"/>
      <c r="N104" s="295"/>
      <c r="P104" s="296"/>
      <c r="T104" s="292"/>
      <c r="U104" s="298"/>
    </row>
    <row r="105" ht="12.75" customHeight="1">
      <c r="D105" s="293"/>
      <c r="E105" s="107"/>
      <c r="F105" s="294"/>
      <c r="G105" s="295"/>
      <c r="J105" s="296"/>
      <c r="K105" s="295"/>
      <c r="M105" s="296"/>
      <c r="N105" s="295"/>
      <c r="P105" s="296"/>
      <c r="T105" s="292"/>
    </row>
    <row r="106" ht="12.75" customHeight="1">
      <c r="D106" s="293"/>
      <c r="E106" s="107"/>
      <c r="F106" s="294"/>
      <c r="G106" s="295"/>
      <c r="J106" s="296"/>
      <c r="K106" s="295"/>
      <c r="M106" s="296"/>
      <c r="N106" s="295"/>
      <c r="P106" s="296"/>
      <c r="T106" s="292"/>
    </row>
    <row r="107" ht="12.75" customHeight="1">
      <c r="D107" s="293"/>
      <c r="E107" s="107"/>
      <c r="F107" s="294"/>
      <c r="G107" s="295"/>
      <c r="J107" s="296"/>
      <c r="K107" s="295"/>
      <c r="M107" s="296"/>
      <c r="N107" s="295"/>
      <c r="P107" s="296"/>
      <c r="T107" s="292"/>
    </row>
    <row r="108" ht="12.75" customHeight="1">
      <c r="D108" s="293"/>
      <c r="E108" s="107"/>
      <c r="F108" s="294"/>
      <c r="G108" s="295"/>
      <c r="J108" s="296"/>
      <c r="K108" s="295"/>
      <c r="M108" s="296"/>
      <c r="N108" s="295"/>
      <c r="P108" s="296"/>
      <c r="T108" s="292"/>
    </row>
    <row r="109" ht="12.75" customHeight="1">
      <c r="D109" s="293"/>
      <c r="E109" s="107"/>
      <c r="F109" s="294"/>
      <c r="G109" s="295"/>
      <c r="J109" s="296"/>
      <c r="K109" s="295"/>
      <c r="M109" s="296"/>
      <c r="N109" s="295"/>
      <c r="P109" s="296"/>
      <c r="T109" s="292"/>
    </row>
    <row r="110" ht="12.75" customHeight="1">
      <c r="D110" s="293"/>
      <c r="E110" s="107"/>
      <c r="F110" s="294"/>
      <c r="G110" s="295"/>
      <c r="J110" s="296"/>
      <c r="K110" s="295"/>
      <c r="M110" s="296"/>
      <c r="N110" s="295"/>
      <c r="P110" s="296"/>
      <c r="T110" s="292"/>
    </row>
    <row r="111" ht="12.75" customHeight="1">
      <c r="D111" s="293"/>
      <c r="E111" s="107"/>
      <c r="F111" s="294"/>
      <c r="G111" s="295"/>
      <c r="J111" s="296"/>
      <c r="K111" s="295"/>
      <c r="M111" s="296"/>
      <c r="N111" s="295"/>
      <c r="P111" s="296"/>
      <c r="T111" s="292"/>
    </row>
    <row r="112" ht="12.75" customHeight="1">
      <c r="D112" s="293"/>
      <c r="E112" s="107"/>
      <c r="F112" s="294"/>
      <c r="G112" s="295"/>
      <c r="J112" s="296"/>
      <c r="K112" s="295"/>
      <c r="M112" s="296"/>
      <c r="N112" s="295"/>
      <c r="P112" s="296"/>
      <c r="T112" s="292"/>
    </row>
    <row r="113" ht="12.75" customHeight="1">
      <c r="D113" s="293"/>
      <c r="E113" s="107"/>
      <c r="F113" s="294"/>
      <c r="G113" s="295"/>
      <c r="J113" s="296"/>
      <c r="K113" s="295"/>
      <c r="M113" s="296"/>
      <c r="N113" s="295"/>
      <c r="P113" s="296"/>
      <c r="T113" s="292"/>
    </row>
    <row r="114" ht="12.75" customHeight="1">
      <c r="D114" s="293"/>
      <c r="E114" s="107"/>
      <c r="F114" s="294"/>
      <c r="G114" s="295"/>
      <c r="J114" s="296"/>
      <c r="K114" s="295"/>
      <c r="M114" s="296"/>
      <c r="N114" s="295"/>
      <c r="P114" s="296"/>
      <c r="T114" s="292"/>
    </row>
    <row r="115" ht="12.75" customHeight="1">
      <c r="D115" s="293"/>
      <c r="E115" s="107"/>
      <c r="F115" s="294"/>
      <c r="G115" s="295"/>
      <c r="J115" s="296"/>
      <c r="K115" s="295"/>
      <c r="M115" s="296"/>
      <c r="N115" s="295"/>
      <c r="P115" s="296"/>
      <c r="T115" s="292"/>
    </row>
    <row r="116" ht="12.75" customHeight="1">
      <c r="D116" s="293"/>
      <c r="E116" s="107"/>
      <c r="F116" s="294"/>
      <c r="G116" s="295"/>
      <c r="J116" s="296"/>
      <c r="K116" s="295"/>
      <c r="M116" s="296"/>
      <c r="N116" s="295"/>
      <c r="P116" s="296"/>
      <c r="T116" s="292"/>
    </row>
    <row r="117" ht="12.75" customHeight="1">
      <c r="D117" s="293"/>
      <c r="E117" s="107"/>
      <c r="F117" s="294"/>
      <c r="G117" s="295"/>
      <c r="J117" s="296"/>
      <c r="K117" s="295"/>
      <c r="M117" s="296"/>
      <c r="N117" s="295"/>
      <c r="P117" s="296"/>
      <c r="T117" s="292"/>
    </row>
    <row r="118" ht="12.75" customHeight="1">
      <c r="D118" s="293"/>
      <c r="E118" s="107"/>
      <c r="F118" s="294"/>
      <c r="G118" s="295"/>
      <c r="J118" s="296"/>
      <c r="K118" s="295"/>
      <c r="M118" s="296"/>
      <c r="N118" s="295"/>
      <c r="P118" s="296"/>
      <c r="T118" s="292"/>
    </row>
    <row r="119" ht="12.75" customHeight="1">
      <c r="D119" s="293"/>
      <c r="E119" s="107"/>
      <c r="F119" s="294"/>
      <c r="G119" s="295"/>
      <c r="J119" s="296"/>
      <c r="K119" s="295"/>
      <c r="M119" s="296"/>
      <c r="N119" s="295"/>
      <c r="P119" s="296"/>
      <c r="T119" s="292"/>
    </row>
    <row r="120" ht="12.75" customHeight="1">
      <c r="D120" s="293"/>
      <c r="E120" s="107"/>
      <c r="F120" s="294"/>
      <c r="G120" s="295"/>
      <c r="J120" s="296"/>
      <c r="K120" s="295"/>
      <c r="M120" s="296"/>
      <c r="N120" s="295"/>
      <c r="P120" s="296"/>
      <c r="T120" s="292"/>
    </row>
    <row r="121" ht="12.75" customHeight="1">
      <c r="D121" s="293"/>
      <c r="E121" s="107"/>
      <c r="F121" s="294"/>
      <c r="G121" s="295"/>
      <c r="J121" s="296"/>
      <c r="K121" s="295"/>
      <c r="M121" s="296"/>
      <c r="N121" s="295"/>
      <c r="P121" s="296"/>
      <c r="T121" s="292"/>
    </row>
    <row r="122" ht="12.75" customHeight="1">
      <c r="D122" s="293"/>
      <c r="E122" s="107"/>
      <c r="F122" s="294"/>
      <c r="G122" s="295"/>
      <c r="J122" s="296"/>
      <c r="K122" s="295"/>
      <c r="M122" s="296"/>
      <c r="N122" s="295"/>
      <c r="P122" s="296"/>
      <c r="T122" s="292"/>
    </row>
    <row r="123" ht="12.75" customHeight="1">
      <c r="D123" s="293"/>
      <c r="E123" s="107"/>
      <c r="F123" s="294"/>
      <c r="G123" s="295"/>
      <c r="J123" s="296"/>
      <c r="K123" s="295"/>
      <c r="M123" s="296"/>
      <c r="N123" s="295"/>
      <c r="P123" s="296"/>
      <c r="T123" s="292"/>
    </row>
    <row r="124" ht="12.75" customHeight="1">
      <c r="D124" s="293"/>
      <c r="E124" s="107"/>
      <c r="F124" s="294"/>
      <c r="G124" s="295"/>
      <c r="J124" s="296"/>
      <c r="K124" s="295"/>
      <c r="M124" s="296"/>
      <c r="N124" s="295"/>
      <c r="P124" s="296"/>
      <c r="T124" s="292"/>
    </row>
    <row r="125" ht="12.75" customHeight="1">
      <c r="D125" s="293"/>
      <c r="E125" s="107"/>
      <c r="F125" s="294"/>
      <c r="G125" s="295"/>
      <c r="J125" s="296"/>
      <c r="K125" s="295"/>
      <c r="M125" s="296"/>
      <c r="N125" s="295"/>
      <c r="P125" s="296"/>
      <c r="T125" s="292"/>
    </row>
    <row r="126" ht="12.75" customHeight="1">
      <c r="D126" s="293"/>
      <c r="E126" s="107"/>
      <c r="F126" s="294"/>
      <c r="G126" s="295"/>
      <c r="J126" s="296"/>
      <c r="K126" s="295"/>
      <c r="M126" s="296"/>
      <c r="N126" s="295"/>
      <c r="P126" s="296"/>
      <c r="T126" s="292"/>
    </row>
    <row r="127" ht="12.75" customHeight="1">
      <c r="D127" s="293"/>
      <c r="E127" s="107"/>
      <c r="F127" s="294"/>
      <c r="G127" s="295"/>
      <c r="J127" s="296"/>
      <c r="K127" s="295"/>
      <c r="M127" s="296"/>
      <c r="N127" s="295"/>
      <c r="P127" s="296"/>
      <c r="T127" s="292"/>
    </row>
    <row r="128" ht="12.75" customHeight="1">
      <c r="D128" s="293"/>
      <c r="E128" s="107"/>
      <c r="F128" s="294"/>
      <c r="G128" s="295"/>
      <c r="J128" s="296"/>
      <c r="K128" s="295"/>
      <c r="M128" s="296"/>
      <c r="N128" s="295"/>
      <c r="P128" s="296"/>
      <c r="T128" s="292"/>
    </row>
    <row r="129" ht="12.75" customHeight="1">
      <c r="D129" s="293"/>
      <c r="E129" s="107"/>
      <c r="F129" s="294"/>
      <c r="G129" s="295"/>
      <c r="J129" s="296"/>
      <c r="K129" s="295"/>
      <c r="M129" s="296"/>
      <c r="N129" s="295"/>
      <c r="P129" s="296"/>
      <c r="T129" s="292"/>
    </row>
    <row r="130" ht="12.75" customHeight="1">
      <c r="D130" s="293"/>
      <c r="E130" s="107"/>
      <c r="F130" s="294"/>
      <c r="G130" s="295"/>
      <c r="J130" s="296"/>
      <c r="K130" s="295"/>
      <c r="M130" s="296"/>
      <c r="N130" s="295"/>
      <c r="P130" s="296"/>
      <c r="T130" s="292"/>
    </row>
    <row r="131" ht="12.75" customHeight="1">
      <c r="D131" s="293"/>
      <c r="E131" s="107"/>
      <c r="F131" s="294"/>
      <c r="G131" s="295"/>
      <c r="J131" s="296"/>
      <c r="K131" s="295"/>
      <c r="M131" s="296"/>
      <c r="N131" s="295"/>
      <c r="P131" s="296"/>
      <c r="T131" s="292"/>
    </row>
    <row r="132" ht="12.75" customHeight="1">
      <c r="D132" s="293"/>
      <c r="E132" s="107"/>
      <c r="F132" s="294"/>
      <c r="G132" s="295"/>
      <c r="J132" s="296"/>
      <c r="K132" s="295"/>
      <c r="M132" s="296"/>
      <c r="N132" s="295"/>
      <c r="P132" s="296"/>
      <c r="T132" s="292"/>
    </row>
    <row r="133" ht="12.75" customHeight="1">
      <c r="D133" s="293"/>
      <c r="E133" s="107"/>
      <c r="F133" s="294"/>
      <c r="G133" s="295"/>
      <c r="J133" s="296"/>
      <c r="K133" s="295"/>
      <c r="M133" s="296"/>
      <c r="N133" s="295"/>
      <c r="P133" s="296"/>
      <c r="T133" s="292"/>
    </row>
    <row r="134" ht="12.75" customHeight="1">
      <c r="D134" s="293"/>
      <c r="E134" s="107"/>
      <c r="F134" s="294"/>
      <c r="G134" s="295"/>
      <c r="J134" s="296"/>
      <c r="K134" s="295"/>
      <c r="M134" s="296"/>
      <c r="N134" s="295"/>
      <c r="P134" s="296"/>
      <c r="T134" s="292"/>
    </row>
    <row r="135" ht="12.75" customHeight="1">
      <c r="D135" s="293"/>
      <c r="E135" s="107"/>
      <c r="F135" s="294"/>
      <c r="G135" s="295"/>
      <c r="J135" s="296"/>
      <c r="K135" s="295"/>
      <c r="M135" s="296"/>
      <c r="N135" s="295"/>
      <c r="P135" s="296"/>
      <c r="T135" s="292"/>
    </row>
    <row r="136" ht="12.75" customHeight="1">
      <c r="D136" s="293"/>
      <c r="E136" s="107"/>
      <c r="F136" s="294"/>
      <c r="G136" s="295"/>
      <c r="J136" s="296"/>
      <c r="K136" s="295"/>
      <c r="M136" s="296"/>
      <c r="N136" s="295"/>
      <c r="P136" s="296"/>
      <c r="T136" s="292"/>
    </row>
    <row r="137" ht="12.75" customHeight="1">
      <c r="D137" s="293"/>
      <c r="E137" s="107"/>
      <c r="F137" s="294"/>
      <c r="G137" s="295"/>
      <c r="J137" s="296"/>
      <c r="K137" s="295"/>
      <c r="M137" s="296"/>
      <c r="N137" s="295"/>
      <c r="P137" s="296"/>
      <c r="T137" s="292"/>
    </row>
    <row r="138" ht="12.75" customHeight="1">
      <c r="D138" s="293"/>
      <c r="E138" s="107"/>
      <c r="F138" s="294"/>
      <c r="G138" s="295"/>
      <c r="J138" s="296"/>
      <c r="K138" s="295"/>
      <c r="M138" s="296"/>
      <c r="N138" s="295"/>
      <c r="P138" s="296"/>
      <c r="T138" s="292"/>
    </row>
    <row r="139" ht="12.75" customHeight="1">
      <c r="D139" s="293"/>
      <c r="E139" s="107"/>
      <c r="F139" s="294"/>
      <c r="G139" s="295"/>
      <c r="J139" s="296"/>
      <c r="K139" s="295"/>
      <c r="M139" s="296"/>
      <c r="N139" s="295"/>
      <c r="P139" s="296"/>
      <c r="T139" s="292"/>
    </row>
    <row r="140" ht="12.75" customHeight="1">
      <c r="D140" s="293"/>
      <c r="E140" s="107"/>
      <c r="F140" s="294"/>
      <c r="G140" s="295"/>
      <c r="J140" s="296"/>
      <c r="K140" s="295"/>
      <c r="M140" s="296"/>
      <c r="N140" s="295"/>
      <c r="P140" s="296"/>
      <c r="T140" s="292"/>
    </row>
    <row r="141" ht="12.75" customHeight="1">
      <c r="D141" s="293"/>
      <c r="E141" s="107"/>
      <c r="F141" s="294"/>
      <c r="G141" s="295"/>
      <c r="J141" s="296"/>
      <c r="K141" s="295"/>
      <c r="M141" s="296"/>
      <c r="N141" s="295"/>
      <c r="P141" s="296"/>
      <c r="T141" s="292"/>
    </row>
    <row r="142" ht="12.75" customHeight="1">
      <c r="D142" s="293"/>
      <c r="E142" s="107"/>
      <c r="F142" s="294"/>
      <c r="G142" s="295"/>
      <c r="J142" s="296"/>
      <c r="K142" s="295"/>
      <c r="M142" s="296"/>
      <c r="N142" s="295"/>
      <c r="P142" s="296"/>
      <c r="T142" s="292"/>
    </row>
    <row r="143" ht="12.75" customHeight="1">
      <c r="D143" s="293"/>
      <c r="E143" s="107"/>
      <c r="F143" s="294"/>
      <c r="G143" s="295"/>
      <c r="J143" s="296"/>
      <c r="K143" s="295"/>
      <c r="M143" s="296"/>
      <c r="N143" s="295"/>
      <c r="P143" s="296"/>
      <c r="T143" s="292"/>
    </row>
    <row r="144" ht="12.75" customHeight="1">
      <c r="D144" s="293"/>
      <c r="E144" s="107"/>
      <c r="F144" s="294"/>
      <c r="G144" s="295"/>
      <c r="J144" s="296"/>
      <c r="K144" s="295"/>
      <c r="M144" s="296"/>
      <c r="N144" s="295"/>
      <c r="P144" s="296"/>
      <c r="T144" s="292"/>
    </row>
    <row r="145" ht="12.75" customHeight="1">
      <c r="D145" s="293"/>
      <c r="E145" s="107"/>
      <c r="F145" s="294"/>
      <c r="G145" s="295"/>
      <c r="J145" s="296"/>
      <c r="K145" s="295"/>
      <c r="M145" s="296"/>
      <c r="N145" s="295"/>
      <c r="P145" s="296"/>
      <c r="T145" s="292"/>
    </row>
    <row r="146" ht="12.75" customHeight="1">
      <c r="D146" s="293"/>
      <c r="E146" s="107"/>
      <c r="F146" s="294"/>
      <c r="G146" s="295"/>
      <c r="J146" s="296"/>
      <c r="K146" s="295"/>
      <c r="M146" s="296"/>
      <c r="N146" s="295"/>
      <c r="P146" s="296"/>
      <c r="T146" s="292"/>
    </row>
    <row r="147" ht="12.75" customHeight="1">
      <c r="D147" s="293"/>
      <c r="E147" s="107"/>
      <c r="F147" s="294"/>
      <c r="G147" s="295"/>
      <c r="J147" s="296"/>
      <c r="K147" s="295"/>
      <c r="M147" s="296"/>
      <c r="N147" s="295"/>
      <c r="P147" s="296"/>
      <c r="T147" s="292"/>
    </row>
    <row r="148" ht="12.75" customHeight="1">
      <c r="D148" s="293"/>
      <c r="E148" s="107"/>
      <c r="F148" s="294"/>
      <c r="G148" s="295"/>
      <c r="J148" s="296"/>
      <c r="K148" s="295"/>
      <c r="M148" s="296"/>
      <c r="N148" s="295"/>
      <c r="P148" s="296"/>
      <c r="T148" s="292"/>
    </row>
    <row r="149" ht="12.75" customHeight="1">
      <c r="D149" s="293"/>
      <c r="E149" s="107"/>
      <c r="F149" s="294"/>
      <c r="G149" s="295"/>
      <c r="J149" s="296"/>
      <c r="K149" s="295"/>
      <c r="M149" s="296"/>
      <c r="N149" s="295"/>
      <c r="P149" s="296"/>
      <c r="T149" s="292"/>
    </row>
    <row r="150" ht="12.75" customHeight="1">
      <c r="D150" s="293"/>
      <c r="E150" s="107"/>
      <c r="F150" s="294"/>
      <c r="G150" s="295"/>
      <c r="J150" s="296"/>
      <c r="K150" s="295"/>
      <c r="M150" s="296"/>
      <c r="N150" s="295"/>
      <c r="P150" s="296"/>
      <c r="T150" s="292"/>
    </row>
    <row r="151" ht="12.75" customHeight="1">
      <c r="D151" s="293"/>
      <c r="E151" s="107"/>
      <c r="F151" s="294"/>
      <c r="G151" s="295"/>
      <c r="J151" s="296"/>
      <c r="K151" s="295"/>
      <c r="M151" s="296"/>
      <c r="N151" s="295"/>
      <c r="P151" s="296"/>
      <c r="T151" s="292"/>
    </row>
    <row r="152" ht="12.75" customHeight="1">
      <c r="D152" s="293"/>
      <c r="E152" s="107"/>
      <c r="F152" s="294"/>
      <c r="G152" s="295"/>
      <c r="J152" s="296"/>
      <c r="K152" s="295"/>
      <c r="M152" s="296"/>
      <c r="N152" s="295"/>
      <c r="P152" s="296"/>
      <c r="T152" s="292"/>
    </row>
    <row r="153" ht="12.75" customHeight="1">
      <c r="D153" s="293"/>
      <c r="E153" s="107"/>
      <c r="F153" s="294"/>
      <c r="G153" s="295"/>
      <c r="J153" s="296"/>
      <c r="K153" s="295"/>
      <c r="M153" s="296"/>
      <c r="N153" s="295"/>
      <c r="P153" s="296"/>
      <c r="T153" s="292"/>
    </row>
    <row r="154" ht="12.75" customHeight="1">
      <c r="D154" s="293"/>
      <c r="E154" s="107"/>
      <c r="F154" s="294"/>
      <c r="G154" s="295"/>
      <c r="J154" s="296"/>
      <c r="K154" s="295"/>
      <c r="M154" s="296"/>
      <c r="N154" s="295"/>
      <c r="P154" s="296"/>
      <c r="T154" s="292"/>
    </row>
    <row r="155" ht="12.75" customHeight="1">
      <c r="D155" s="293"/>
      <c r="E155" s="107"/>
      <c r="F155" s="294"/>
      <c r="G155" s="295"/>
      <c r="J155" s="296"/>
      <c r="K155" s="295"/>
      <c r="M155" s="296"/>
      <c r="N155" s="295"/>
      <c r="P155" s="296"/>
      <c r="T155" s="292"/>
    </row>
    <row r="156" ht="12.75" customHeight="1">
      <c r="D156" s="293"/>
      <c r="E156" s="107"/>
      <c r="F156" s="294"/>
      <c r="G156" s="295"/>
      <c r="J156" s="296"/>
      <c r="K156" s="295"/>
      <c r="M156" s="296"/>
      <c r="N156" s="295"/>
      <c r="P156" s="296"/>
      <c r="T156" s="292"/>
    </row>
    <row r="157" ht="12.75" customHeight="1">
      <c r="D157" s="293"/>
      <c r="E157" s="107"/>
      <c r="F157" s="294"/>
      <c r="G157" s="295"/>
      <c r="J157" s="296"/>
      <c r="K157" s="295"/>
      <c r="M157" s="296"/>
      <c r="N157" s="295"/>
      <c r="P157" s="296"/>
      <c r="T157" s="292"/>
    </row>
    <row r="158" ht="12.75" customHeight="1">
      <c r="D158" s="293"/>
      <c r="E158" s="107"/>
      <c r="F158" s="294"/>
      <c r="G158" s="295"/>
      <c r="J158" s="296"/>
      <c r="K158" s="295"/>
      <c r="M158" s="296"/>
      <c r="N158" s="295"/>
      <c r="P158" s="296"/>
      <c r="T158" s="292"/>
    </row>
    <row r="159" ht="12.75" customHeight="1">
      <c r="D159" s="293"/>
      <c r="E159" s="107"/>
      <c r="F159" s="294"/>
      <c r="G159" s="295"/>
      <c r="J159" s="296"/>
      <c r="K159" s="295"/>
      <c r="M159" s="296"/>
      <c r="N159" s="295"/>
      <c r="P159" s="296"/>
      <c r="T159" s="292"/>
    </row>
    <row r="160" ht="12.75" customHeight="1">
      <c r="D160" s="293"/>
      <c r="E160" s="107"/>
      <c r="F160" s="294"/>
      <c r="G160" s="295"/>
      <c r="J160" s="296"/>
      <c r="K160" s="295"/>
      <c r="M160" s="296"/>
      <c r="N160" s="295"/>
      <c r="P160" s="296"/>
      <c r="T160" s="292"/>
    </row>
    <row r="161" ht="12.75" customHeight="1">
      <c r="D161" s="293"/>
      <c r="E161" s="107"/>
      <c r="F161" s="294"/>
      <c r="G161" s="295"/>
      <c r="J161" s="296"/>
      <c r="K161" s="295"/>
      <c r="M161" s="296"/>
      <c r="N161" s="295"/>
      <c r="P161" s="296"/>
      <c r="T161" s="292"/>
    </row>
    <row r="162" ht="12.75" customHeight="1">
      <c r="D162" s="293"/>
      <c r="E162" s="107"/>
      <c r="F162" s="294"/>
      <c r="G162" s="295"/>
      <c r="J162" s="296"/>
      <c r="K162" s="295"/>
      <c r="M162" s="296"/>
      <c r="N162" s="295"/>
      <c r="P162" s="296"/>
      <c r="T162" s="292"/>
    </row>
    <row r="163" ht="12.75" customHeight="1">
      <c r="D163" s="293"/>
      <c r="E163" s="107"/>
      <c r="F163" s="294"/>
      <c r="G163" s="295"/>
      <c r="J163" s="296"/>
      <c r="K163" s="295"/>
      <c r="M163" s="296"/>
      <c r="N163" s="295"/>
      <c r="P163" s="296"/>
      <c r="T163" s="292"/>
    </row>
    <row r="164" ht="12.75" customHeight="1">
      <c r="D164" s="293"/>
      <c r="E164" s="107"/>
      <c r="F164" s="294"/>
      <c r="G164" s="295"/>
      <c r="J164" s="296"/>
      <c r="K164" s="295"/>
      <c r="M164" s="296"/>
      <c r="N164" s="295"/>
      <c r="P164" s="296"/>
      <c r="T164" s="292"/>
    </row>
    <row r="165" ht="12.75" customHeight="1">
      <c r="D165" s="293"/>
      <c r="E165" s="107"/>
      <c r="F165" s="294"/>
      <c r="G165" s="295"/>
      <c r="J165" s="296"/>
      <c r="K165" s="295"/>
      <c r="M165" s="296"/>
      <c r="N165" s="295"/>
      <c r="P165" s="296"/>
      <c r="T165" s="292"/>
    </row>
    <row r="166" ht="12.75" customHeight="1">
      <c r="D166" s="293"/>
      <c r="E166" s="107"/>
      <c r="F166" s="294"/>
      <c r="G166" s="295"/>
      <c r="J166" s="296"/>
      <c r="K166" s="295"/>
      <c r="M166" s="296"/>
      <c r="N166" s="295"/>
      <c r="P166" s="296"/>
      <c r="T166" s="292"/>
    </row>
    <row r="167" ht="12.75" customHeight="1">
      <c r="D167" s="293"/>
      <c r="E167" s="107"/>
      <c r="F167" s="294"/>
      <c r="G167" s="295"/>
      <c r="J167" s="296"/>
      <c r="K167" s="295"/>
      <c r="M167" s="296"/>
      <c r="N167" s="295"/>
      <c r="P167" s="296"/>
      <c r="T167" s="292"/>
    </row>
    <row r="168" ht="12.75" customHeight="1">
      <c r="D168" s="293"/>
      <c r="E168" s="107"/>
      <c r="F168" s="294"/>
      <c r="G168" s="295"/>
      <c r="J168" s="296"/>
      <c r="K168" s="295"/>
      <c r="M168" s="296"/>
      <c r="N168" s="295"/>
      <c r="P168" s="296"/>
      <c r="T168" s="292"/>
    </row>
    <row r="169" ht="12.75" customHeight="1">
      <c r="D169" s="293"/>
      <c r="E169" s="107"/>
      <c r="F169" s="294"/>
      <c r="G169" s="295"/>
      <c r="J169" s="296"/>
      <c r="K169" s="295"/>
      <c r="M169" s="296"/>
      <c r="N169" s="295"/>
      <c r="P169" s="296"/>
      <c r="T169" s="292"/>
    </row>
    <row r="170" ht="12.75" customHeight="1">
      <c r="D170" s="293"/>
      <c r="E170" s="107"/>
      <c r="F170" s="294"/>
      <c r="G170" s="295"/>
      <c r="J170" s="296"/>
      <c r="K170" s="295"/>
      <c r="M170" s="296"/>
      <c r="N170" s="295"/>
      <c r="P170" s="296"/>
      <c r="T170" s="292"/>
    </row>
    <row r="171" ht="12.75" customHeight="1">
      <c r="D171" s="293"/>
      <c r="E171" s="107"/>
      <c r="F171" s="294"/>
      <c r="G171" s="295"/>
      <c r="J171" s="296"/>
      <c r="K171" s="295"/>
      <c r="M171" s="296"/>
      <c r="N171" s="295"/>
      <c r="P171" s="296"/>
      <c r="T171" s="292"/>
    </row>
    <row r="172" ht="12.75" customHeight="1">
      <c r="D172" s="293"/>
      <c r="E172" s="107"/>
      <c r="F172" s="294"/>
      <c r="G172" s="295"/>
      <c r="J172" s="296"/>
      <c r="K172" s="295"/>
      <c r="M172" s="296"/>
      <c r="N172" s="295"/>
      <c r="P172" s="296"/>
      <c r="T172" s="292"/>
    </row>
    <row r="173" ht="12.75" customHeight="1">
      <c r="D173" s="293"/>
      <c r="E173" s="107"/>
      <c r="F173" s="294"/>
      <c r="G173" s="295"/>
      <c r="J173" s="296"/>
      <c r="K173" s="295"/>
      <c r="M173" s="296"/>
      <c r="N173" s="295"/>
      <c r="P173" s="296"/>
      <c r="T173" s="292"/>
    </row>
    <row r="174" ht="12.75" customHeight="1">
      <c r="D174" s="293"/>
      <c r="E174" s="107"/>
      <c r="F174" s="294"/>
      <c r="G174" s="295"/>
      <c r="J174" s="296"/>
      <c r="K174" s="295"/>
      <c r="M174" s="296"/>
      <c r="N174" s="295"/>
      <c r="P174" s="296"/>
      <c r="T174" s="292"/>
    </row>
    <row r="175" ht="12.75" customHeight="1">
      <c r="D175" s="293"/>
      <c r="E175" s="107"/>
      <c r="F175" s="294"/>
      <c r="G175" s="295"/>
      <c r="J175" s="296"/>
      <c r="K175" s="295"/>
      <c r="M175" s="296"/>
      <c r="N175" s="295"/>
      <c r="P175" s="296"/>
      <c r="T175" s="292"/>
    </row>
    <row r="176" ht="12.75" customHeight="1">
      <c r="D176" s="293"/>
      <c r="E176" s="107"/>
      <c r="F176" s="294"/>
      <c r="G176" s="295"/>
      <c r="J176" s="296"/>
      <c r="K176" s="295"/>
      <c r="M176" s="296"/>
      <c r="N176" s="295"/>
      <c r="P176" s="296"/>
      <c r="T176" s="292"/>
    </row>
    <row r="177" ht="12.75" customHeight="1">
      <c r="D177" s="293"/>
      <c r="E177" s="107"/>
      <c r="F177" s="294"/>
      <c r="G177" s="295"/>
      <c r="J177" s="296"/>
      <c r="K177" s="295"/>
      <c r="M177" s="296"/>
      <c r="N177" s="295"/>
      <c r="P177" s="296"/>
      <c r="T177" s="292"/>
    </row>
    <row r="178" ht="12.75" customHeight="1">
      <c r="D178" s="293"/>
      <c r="E178" s="107"/>
      <c r="F178" s="294"/>
      <c r="G178" s="295"/>
      <c r="J178" s="296"/>
      <c r="K178" s="295"/>
      <c r="M178" s="296"/>
      <c r="N178" s="295"/>
      <c r="P178" s="296"/>
      <c r="T178" s="292"/>
    </row>
    <row r="179" ht="12.75" customHeight="1">
      <c r="D179" s="293"/>
      <c r="E179" s="107"/>
      <c r="F179" s="294"/>
      <c r="G179" s="295"/>
      <c r="J179" s="296"/>
      <c r="K179" s="295"/>
      <c r="M179" s="296"/>
      <c r="N179" s="295"/>
      <c r="P179" s="296"/>
      <c r="T179" s="292"/>
    </row>
    <row r="180" ht="12.75" customHeight="1">
      <c r="D180" s="293"/>
      <c r="E180" s="107"/>
      <c r="F180" s="294"/>
      <c r="G180" s="295"/>
      <c r="J180" s="296"/>
      <c r="K180" s="295"/>
      <c r="M180" s="296"/>
      <c r="N180" s="295"/>
      <c r="P180" s="296"/>
      <c r="T180" s="292"/>
    </row>
    <row r="181" ht="12.75" customHeight="1">
      <c r="D181" s="293"/>
      <c r="E181" s="107"/>
      <c r="F181" s="294"/>
      <c r="G181" s="295"/>
      <c r="J181" s="296"/>
      <c r="K181" s="295"/>
      <c r="M181" s="296"/>
      <c r="N181" s="295"/>
      <c r="P181" s="296"/>
      <c r="T181" s="292"/>
    </row>
    <row r="182" ht="12.75" customHeight="1">
      <c r="D182" s="293"/>
      <c r="E182" s="107"/>
      <c r="F182" s="294"/>
      <c r="G182" s="295"/>
      <c r="J182" s="296"/>
      <c r="K182" s="295"/>
      <c r="M182" s="296"/>
      <c r="N182" s="295"/>
      <c r="P182" s="296"/>
      <c r="T182" s="292"/>
    </row>
    <row r="183" ht="12.75" customHeight="1">
      <c r="D183" s="293"/>
      <c r="E183" s="107"/>
      <c r="F183" s="294"/>
      <c r="G183" s="295"/>
      <c r="J183" s="296"/>
      <c r="K183" s="295"/>
      <c r="M183" s="296"/>
      <c r="N183" s="295"/>
      <c r="P183" s="296"/>
      <c r="T183" s="292"/>
    </row>
    <row r="184" ht="12.75" customHeight="1">
      <c r="D184" s="293"/>
      <c r="E184" s="107"/>
      <c r="F184" s="294"/>
      <c r="G184" s="295"/>
      <c r="J184" s="296"/>
      <c r="K184" s="295"/>
      <c r="M184" s="296"/>
      <c r="N184" s="295"/>
      <c r="P184" s="296"/>
      <c r="T184" s="292"/>
    </row>
    <row r="185" ht="12.75" customHeight="1">
      <c r="D185" s="293"/>
      <c r="E185" s="107"/>
      <c r="F185" s="294"/>
      <c r="G185" s="295"/>
      <c r="J185" s="296"/>
      <c r="K185" s="295"/>
      <c r="M185" s="296"/>
      <c r="N185" s="295"/>
      <c r="P185" s="296"/>
      <c r="T185" s="292"/>
    </row>
    <row r="186" ht="12.75" customHeight="1">
      <c r="D186" s="293"/>
      <c r="E186" s="107"/>
      <c r="F186" s="294"/>
      <c r="G186" s="295"/>
      <c r="J186" s="296"/>
      <c r="K186" s="295"/>
      <c r="M186" s="296"/>
      <c r="N186" s="295"/>
      <c r="P186" s="296"/>
      <c r="T186" s="292"/>
    </row>
    <row r="187" ht="12.75" customHeight="1">
      <c r="D187" s="293"/>
      <c r="E187" s="107"/>
      <c r="F187" s="294"/>
      <c r="G187" s="295"/>
      <c r="J187" s="296"/>
      <c r="K187" s="295"/>
      <c r="M187" s="296"/>
      <c r="N187" s="295"/>
      <c r="P187" s="296"/>
      <c r="T187" s="292"/>
    </row>
    <row r="188" ht="12.75" customHeight="1">
      <c r="D188" s="293"/>
      <c r="E188" s="107"/>
      <c r="F188" s="294"/>
      <c r="G188" s="295"/>
      <c r="J188" s="296"/>
      <c r="K188" s="295"/>
      <c r="M188" s="296"/>
      <c r="N188" s="295"/>
      <c r="P188" s="296"/>
      <c r="T188" s="292"/>
    </row>
    <row r="189" ht="12.75" customHeight="1">
      <c r="D189" s="293"/>
      <c r="E189" s="107"/>
      <c r="F189" s="294"/>
      <c r="G189" s="295"/>
      <c r="J189" s="296"/>
      <c r="K189" s="295"/>
      <c r="M189" s="296"/>
      <c r="N189" s="295"/>
      <c r="P189" s="296"/>
      <c r="T189" s="292"/>
    </row>
    <row r="190" ht="12.75" customHeight="1">
      <c r="D190" s="293"/>
      <c r="E190" s="107"/>
      <c r="F190" s="294"/>
      <c r="G190" s="295"/>
      <c r="J190" s="296"/>
      <c r="K190" s="295"/>
      <c r="M190" s="296"/>
      <c r="N190" s="295"/>
      <c r="P190" s="296"/>
      <c r="T190" s="292"/>
    </row>
    <row r="191" ht="12.75" customHeight="1">
      <c r="D191" s="293"/>
      <c r="E191" s="107"/>
      <c r="F191" s="294"/>
      <c r="G191" s="295"/>
      <c r="J191" s="296"/>
      <c r="K191" s="295"/>
      <c r="M191" s="296"/>
      <c r="N191" s="295"/>
      <c r="P191" s="296"/>
      <c r="T191" s="292"/>
    </row>
    <row r="192" ht="12.75" customHeight="1">
      <c r="D192" s="293"/>
      <c r="E192" s="107"/>
      <c r="F192" s="294"/>
      <c r="G192" s="295"/>
      <c r="J192" s="296"/>
      <c r="K192" s="295"/>
      <c r="M192" s="296"/>
      <c r="N192" s="295"/>
      <c r="P192" s="296"/>
      <c r="T192" s="292"/>
    </row>
    <row r="193" ht="12.75" customHeight="1">
      <c r="D193" s="293"/>
      <c r="E193" s="107"/>
      <c r="F193" s="294"/>
      <c r="G193" s="295"/>
      <c r="J193" s="296"/>
      <c r="K193" s="295"/>
      <c r="M193" s="296"/>
      <c r="N193" s="295"/>
      <c r="P193" s="296"/>
      <c r="T193" s="292"/>
    </row>
    <row r="194" ht="12.75" customHeight="1">
      <c r="D194" s="293"/>
      <c r="E194" s="107"/>
      <c r="F194" s="294"/>
      <c r="G194" s="295"/>
      <c r="J194" s="296"/>
      <c r="K194" s="295"/>
      <c r="M194" s="296"/>
      <c r="N194" s="295"/>
      <c r="P194" s="296"/>
      <c r="T194" s="292"/>
    </row>
    <row r="195" ht="12.75" customHeight="1">
      <c r="D195" s="293"/>
      <c r="E195" s="107"/>
      <c r="F195" s="294"/>
      <c r="G195" s="295"/>
      <c r="J195" s="296"/>
      <c r="K195" s="295"/>
      <c r="M195" s="296"/>
      <c r="N195" s="295"/>
      <c r="P195" s="296"/>
      <c r="T195" s="292"/>
    </row>
    <row r="196" ht="12.75" customHeight="1">
      <c r="D196" s="293"/>
      <c r="E196" s="107"/>
      <c r="F196" s="294"/>
      <c r="G196" s="295"/>
      <c r="J196" s="296"/>
      <c r="K196" s="295"/>
      <c r="M196" s="296"/>
      <c r="N196" s="295"/>
      <c r="P196" s="296"/>
      <c r="T196" s="292"/>
    </row>
    <row r="197" ht="12.75" customHeight="1">
      <c r="D197" s="293"/>
      <c r="E197" s="107"/>
      <c r="F197" s="294"/>
      <c r="G197" s="295"/>
      <c r="J197" s="296"/>
      <c r="K197" s="295"/>
      <c r="M197" s="296"/>
      <c r="N197" s="295"/>
      <c r="P197" s="296"/>
      <c r="T197" s="292"/>
    </row>
    <row r="198" ht="12.75" customHeight="1">
      <c r="D198" s="293"/>
      <c r="E198" s="107"/>
      <c r="F198" s="294"/>
      <c r="G198" s="295"/>
      <c r="J198" s="296"/>
      <c r="K198" s="295"/>
      <c r="M198" s="296"/>
      <c r="N198" s="295"/>
      <c r="P198" s="296"/>
      <c r="T198" s="292"/>
    </row>
    <row r="199" ht="12.75" customHeight="1">
      <c r="D199" s="293"/>
      <c r="E199" s="107"/>
      <c r="F199" s="294"/>
      <c r="G199" s="295"/>
      <c r="J199" s="296"/>
      <c r="K199" s="295"/>
      <c r="M199" s="296"/>
      <c r="N199" s="295"/>
      <c r="P199" s="296"/>
      <c r="T199" s="292"/>
    </row>
    <row r="200" ht="12.75" customHeight="1">
      <c r="D200" s="293"/>
      <c r="E200" s="107"/>
      <c r="F200" s="294"/>
      <c r="G200" s="295"/>
      <c r="J200" s="296"/>
      <c r="K200" s="295"/>
      <c r="M200" s="296"/>
      <c r="N200" s="295"/>
      <c r="P200" s="296"/>
      <c r="T200" s="292"/>
    </row>
    <row r="201" ht="12.75" customHeight="1">
      <c r="D201" s="293"/>
      <c r="E201" s="107"/>
      <c r="F201" s="294"/>
      <c r="G201" s="295"/>
      <c r="J201" s="296"/>
      <c r="K201" s="295"/>
      <c r="M201" s="296"/>
      <c r="N201" s="295"/>
      <c r="P201" s="296"/>
      <c r="T201" s="292"/>
    </row>
    <row r="202" ht="12.75" customHeight="1">
      <c r="D202" s="293"/>
      <c r="E202" s="107"/>
      <c r="F202" s="294"/>
      <c r="G202" s="295"/>
      <c r="J202" s="296"/>
      <c r="K202" s="295"/>
      <c r="M202" s="296"/>
      <c r="N202" s="295"/>
      <c r="P202" s="296"/>
      <c r="T202" s="292"/>
    </row>
    <row r="203" ht="12.75" customHeight="1">
      <c r="D203" s="293"/>
      <c r="E203" s="107"/>
      <c r="F203" s="294"/>
      <c r="G203" s="295"/>
      <c r="J203" s="296"/>
      <c r="K203" s="295"/>
      <c r="M203" s="296"/>
      <c r="N203" s="295"/>
      <c r="P203" s="296"/>
      <c r="T203" s="292"/>
    </row>
    <row r="204" ht="12.75" customHeight="1">
      <c r="D204" s="293"/>
      <c r="E204" s="107"/>
      <c r="F204" s="294"/>
      <c r="G204" s="295"/>
      <c r="J204" s="296"/>
      <c r="K204" s="295"/>
      <c r="M204" s="296"/>
      <c r="N204" s="295"/>
      <c r="P204" s="296"/>
      <c r="T204" s="292"/>
    </row>
    <row r="205" ht="12.75" customHeight="1">
      <c r="D205" s="293"/>
      <c r="E205" s="107"/>
      <c r="F205" s="294"/>
      <c r="G205" s="295"/>
      <c r="J205" s="296"/>
      <c r="K205" s="295"/>
      <c r="M205" s="296"/>
      <c r="N205" s="295"/>
      <c r="P205" s="296"/>
      <c r="T205" s="292"/>
    </row>
    <row r="206" ht="12.75" customHeight="1">
      <c r="D206" s="293"/>
      <c r="E206" s="107"/>
      <c r="F206" s="294"/>
      <c r="G206" s="295"/>
      <c r="J206" s="296"/>
      <c r="K206" s="295"/>
      <c r="M206" s="296"/>
      <c r="N206" s="295"/>
      <c r="P206" s="296"/>
      <c r="T206" s="292"/>
    </row>
    <row r="207" ht="12.75" customHeight="1">
      <c r="D207" s="293"/>
      <c r="E207" s="107"/>
      <c r="F207" s="294"/>
      <c r="G207" s="295"/>
      <c r="J207" s="296"/>
      <c r="K207" s="295"/>
      <c r="M207" s="296"/>
      <c r="N207" s="295"/>
      <c r="P207" s="296"/>
      <c r="T207" s="292"/>
    </row>
    <row r="208" ht="12.75" customHeight="1">
      <c r="D208" s="293"/>
      <c r="E208" s="107"/>
      <c r="F208" s="294"/>
      <c r="G208" s="295"/>
      <c r="J208" s="296"/>
      <c r="K208" s="295"/>
      <c r="M208" s="296"/>
      <c r="N208" s="295"/>
      <c r="P208" s="296"/>
      <c r="T208" s="292"/>
    </row>
    <row r="209" ht="12.75" customHeight="1">
      <c r="D209" s="293"/>
      <c r="E209" s="107"/>
      <c r="F209" s="294"/>
      <c r="G209" s="295"/>
      <c r="J209" s="296"/>
      <c r="K209" s="295"/>
      <c r="M209" s="296"/>
      <c r="N209" s="295"/>
      <c r="P209" s="296"/>
      <c r="T209" s="292"/>
    </row>
    <row r="210" ht="12.75" customHeight="1">
      <c r="D210" s="293"/>
      <c r="E210" s="107"/>
      <c r="F210" s="294"/>
      <c r="G210" s="295"/>
      <c r="J210" s="296"/>
      <c r="K210" s="295"/>
      <c r="M210" s="296"/>
      <c r="N210" s="295"/>
      <c r="P210" s="296"/>
      <c r="T210" s="292"/>
    </row>
    <row r="211" ht="12.75" customHeight="1">
      <c r="D211" s="293"/>
      <c r="E211" s="107"/>
      <c r="F211" s="294"/>
      <c r="G211" s="295"/>
      <c r="J211" s="296"/>
      <c r="K211" s="295"/>
      <c r="M211" s="296"/>
      <c r="N211" s="295"/>
      <c r="P211" s="296"/>
      <c r="T211" s="292"/>
    </row>
    <row r="212" ht="12.75" customHeight="1">
      <c r="D212" s="293"/>
      <c r="E212" s="107"/>
      <c r="F212" s="294"/>
      <c r="G212" s="295"/>
      <c r="J212" s="296"/>
      <c r="K212" s="295"/>
      <c r="M212" s="296"/>
      <c r="N212" s="295"/>
      <c r="P212" s="296"/>
      <c r="T212" s="292"/>
    </row>
    <row r="213" ht="12.75" customHeight="1">
      <c r="D213" s="293"/>
      <c r="E213" s="107"/>
      <c r="F213" s="294"/>
      <c r="G213" s="295"/>
      <c r="J213" s="296"/>
      <c r="K213" s="295"/>
      <c r="M213" s="296"/>
      <c r="N213" s="295"/>
      <c r="P213" s="296"/>
      <c r="T213" s="292"/>
    </row>
    <row r="214" ht="12.75" customHeight="1">
      <c r="D214" s="293"/>
      <c r="E214" s="107"/>
      <c r="F214" s="294"/>
      <c r="G214" s="295"/>
      <c r="J214" s="296"/>
      <c r="K214" s="295"/>
      <c r="M214" s="296"/>
      <c r="N214" s="295"/>
      <c r="P214" s="296"/>
      <c r="T214" s="292"/>
    </row>
    <row r="215" ht="12.75" customHeight="1">
      <c r="D215" s="293"/>
      <c r="E215" s="107"/>
      <c r="F215" s="294"/>
      <c r="G215" s="295"/>
      <c r="J215" s="296"/>
      <c r="K215" s="295"/>
      <c r="M215" s="296"/>
      <c r="N215" s="295"/>
      <c r="P215" s="296"/>
      <c r="T215" s="292"/>
    </row>
    <row r="216" ht="12.75" customHeight="1">
      <c r="D216" s="293"/>
      <c r="E216" s="107"/>
      <c r="F216" s="294"/>
      <c r="G216" s="295"/>
      <c r="J216" s="296"/>
      <c r="K216" s="295"/>
      <c r="M216" s="296"/>
      <c r="N216" s="295"/>
      <c r="P216" s="296"/>
      <c r="T216" s="292"/>
    </row>
    <row r="217" ht="12.75" customHeight="1">
      <c r="D217" s="293"/>
      <c r="E217" s="107"/>
      <c r="F217" s="294"/>
      <c r="G217" s="295"/>
      <c r="J217" s="296"/>
      <c r="K217" s="295"/>
      <c r="M217" s="296"/>
      <c r="N217" s="295"/>
      <c r="P217" s="296"/>
      <c r="T217" s="292"/>
    </row>
    <row r="218" ht="12.75" customHeight="1">
      <c r="D218" s="293"/>
      <c r="E218" s="107"/>
      <c r="F218" s="294"/>
      <c r="G218" s="295"/>
      <c r="J218" s="296"/>
      <c r="K218" s="295"/>
      <c r="M218" s="296"/>
      <c r="N218" s="295"/>
      <c r="P218" s="296"/>
      <c r="T218" s="292"/>
    </row>
    <row r="219" ht="12.75" customHeight="1">
      <c r="D219" s="293"/>
      <c r="E219" s="107"/>
      <c r="F219" s="294"/>
      <c r="G219" s="295"/>
      <c r="J219" s="296"/>
      <c r="K219" s="295"/>
      <c r="M219" s="296"/>
      <c r="N219" s="295"/>
      <c r="P219" s="296"/>
      <c r="T219" s="292"/>
    </row>
    <row r="220" ht="12.75" customHeight="1">
      <c r="D220" s="293"/>
      <c r="E220" s="107"/>
      <c r="F220" s="294"/>
      <c r="G220" s="295"/>
      <c r="J220" s="296"/>
      <c r="K220" s="295"/>
      <c r="M220" s="296"/>
      <c r="N220" s="295"/>
      <c r="P220" s="296"/>
      <c r="T220" s="292"/>
    </row>
    <row r="221" ht="12.75" customHeight="1">
      <c r="D221" s="293"/>
      <c r="E221" s="107"/>
      <c r="F221" s="294"/>
      <c r="G221" s="295"/>
      <c r="J221" s="296"/>
      <c r="K221" s="295"/>
      <c r="M221" s="296"/>
      <c r="N221" s="295"/>
      <c r="P221" s="296"/>
      <c r="T221" s="292"/>
    </row>
    <row r="222" ht="12.75" customHeight="1">
      <c r="D222" s="293"/>
      <c r="E222" s="107"/>
      <c r="F222" s="294"/>
      <c r="G222" s="295"/>
      <c r="J222" s="296"/>
      <c r="K222" s="295"/>
      <c r="M222" s="296"/>
      <c r="N222" s="295"/>
      <c r="P222" s="296"/>
      <c r="T222" s="292"/>
    </row>
    <row r="223" ht="12.75" customHeight="1">
      <c r="D223" s="293"/>
      <c r="E223" s="107"/>
      <c r="F223" s="294"/>
      <c r="G223" s="295"/>
      <c r="J223" s="296"/>
      <c r="K223" s="295"/>
      <c r="M223" s="296"/>
      <c r="N223" s="295"/>
      <c r="P223" s="296"/>
      <c r="T223" s="292"/>
    </row>
    <row r="224" ht="12.75" customHeight="1">
      <c r="D224" s="293"/>
      <c r="E224" s="107"/>
      <c r="F224" s="294"/>
      <c r="G224" s="295"/>
      <c r="J224" s="296"/>
      <c r="K224" s="295"/>
      <c r="M224" s="296"/>
      <c r="N224" s="295"/>
      <c r="P224" s="296"/>
      <c r="T224" s="292"/>
    </row>
    <row r="225" ht="12.75" customHeight="1">
      <c r="D225" s="293"/>
      <c r="E225" s="107"/>
      <c r="F225" s="294"/>
      <c r="G225" s="295"/>
      <c r="J225" s="296"/>
      <c r="K225" s="295"/>
      <c r="M225" s="296"/>
      <c r="N225" s="295"/>
      <c r="P225" s="296"/>
      <c r="T225" s="292"/>
    </row>
    <row r="226" ht="12.75" customHeight="1">
      <c r="D226" s="293"/>
      <c r="E226" s="107"/>
      <c r="F226" s="294"/>
      <c r="G226" s="295"/>
      <c r="J226" s="296"/>
      <c r="K226" s="295"/>
      <c r="M226" s="296"/>
      <c r="N226" s="295"/>
      <c r="P226" s="296"/>
      <c r="T226" s="292"/>
    </row>
    <row r="227" ht="12.75" customHeight="1">
      <c r="D227" s="293"/>
      <c r="E227" s="107"/>
      <c r="F227" s="294"/>
      <c r="G227" s="295"/>
      <c r="J227" s="296"/>
      <c r="K227" s="295"/>
      <c r="M227" s="296"/>
      <c r="N227" s="295"/>
      <c r="P227" s="296"/>
      <c r="T227" s="292"/>
    </row>
    <row r="228" ht="12.75" customHeight="1">
      <c r="D228" s="293"/>
      <c r="E228" s="107"/>
      <c r="F228" s="294"/>
      <c r="G228" s="295"/>
      <c r="J228" s="296"/>
      <c r="K228" s="295"/>
      <c r="M228" s="296"/>
      <c r="N228" s="295"/>
      <c r="P228" s="296"/>
      <c r="T228" s="292"/>
    </row>
    <row r="229" ht="12.75" customHeight="1">
      <c r="D229" s="293"/>
      <c r="E229" s="107"/>
      <c r="F229" s="294"/>
      <c r="G229" s="295"/>
      <c r="J229" s="296"/>
      <c r="K229" s="295"/>
      <c r="M229" s="296"/>
      <c r="N229" s="295"/>
      <c r="P229" s="296"/>
      <c r="T229" s="292"/>
    </row>
    <row r="230" ht="12.75" customHeight="1">
      <c r="D230" s="293"/>
      <c r="E230" s="107"/>
      <c r="F230" s="294"/>
      <c r="G230" s="295"/>
      <c r="J230" s="296"/>
      <c r="K230" s="295"/>
      <c r="M230" s="296"/>
      <c r="N230" s="295"/>
      <c r="P230" s="296"/>
      <c r="T230" s="292"/>
    </row>
    <row r="231" ht="12.75" customHeight="1">
      <c r="D231" s="293"/>
      <c r="E231" s="107"/>
      <c r="F231" s="294"/>
      <c r="G231" s="295"/>
      <c r="J231" s="296"/>
      <c r="K231" s="295"/>
      <c r="M231" s="296"/>
      <c r="N231" s="295"/>
      <c r="P231" s="296"/>
      <c r="T231" s="292"/>
    </row>
    <row r="232" ht="12.75" customHeight="1">
      <c r="D232" s="293"/>
      <c r="E232" s="107"/>
      <c r="F232" s="294"/>
      <c r="G232" s="295"/>
      <c r="J232" s="296"/>
      <c r="K232" s="295"/>
      <c r="M232" s="296"/>
      <c r="N232" s="295"/>
      <c r="P232" s="296"/>
      <c r="T232" s="292"/>
    </row>
    <row r="233" ht="12.75" customHeight="1">
      <c r="D233" s="293"/>
      <c r="E233" s="107"/>
      <c r="F233" s="294"/>
      <c r="G233" s="295"/>
      <c r="J233" s="296"/>
      <c r="K233" s="295"/>
      <c r="M233" s="296"/>
      <c r="N233" s="295"/>
      <c r="P233" s="296"/>
      <c r="T233" s="292"/>
    </row>
    <row r="234" ht="12.75" customHeight="1">
      <c r="D234" s="293"/>
      <c r="E234" s="107"/>
      <c r="F234" s="294"/>
      <c r="G234" s="295"/>
      <c r="J234" s="296"/>
      <c r="K234" s="295"/>
      <c r="M234" s="296"/>
      <c r="N234" s="295"/>
      <c r="P234" s="296"/>
      <c r="T234" s="292"/>
    </row>
    <row r="235" ht="12.75" customHeight="1">
      <c r="D235" s="293"/>
      <c r="E235" s="107"/>
      <c r="F235" s="294"/>
      <c r="G235" s="295"/>
      <c r="J235" s="296"/>
      <c r="K235" s="295"/>
      <c r="M235" s="296"/>
      <c r="N235" s="295"/>
      <c r="P235" s="296"/>
      <c r="T235" s="292"/>
    </row>
    <row r="236" ht="12.75" customHeight="1">
      <c r="D236" s="293"/>
      <c r="E236" s="107"/>
      <c r="F236" s="294"/>
      <c r="G236" s="295"/>
      <c r="J236" s="296"/>
      <c r="K236" s="295"/>
      <c r="M236" s="296"/>
      <c r="N236" s="295"/>
      <c r="P236" s="296"/>
      <c r="T236" s="292"/>
    </row>
    <row r="237" ht="12.75" customHeight="1">
      <c r="D237" s="293"/>
      <c r="E237" s="107"/>
      <c r="F237" s="294"/>
      <c r="G237" s="295"/>
      <c r="J237" s="296"/>
      <c r="K237" s="295"/>
      <c r="M237" s="296"/>
      <c r="N237" s="295"/>
      <c r="P237" s="296"/>
      <c r="T237" s="292"/>
    </row>
    <row r="238" ht="12.75" customHeight="1">
      <c r="D238" s="293"/>
      <c r="E238" s="107"/>
      <c r="F238" s="294"/>
      <c r="G238" s="295"/>
      <c r="J238" s="296"/>
      <c r="K238" s="295"/>
      <c r="M238" s="296"/>
      <c r="N238" s="295"/>
      <c r="P238" s="296"/>
      <c r="T238" s="292"/>
    </row>
    <row r="239" ht="12.75" customHeight="1">
      <c r="D239" s="293"/>
      <c r="E239" s="107"/>
      <c r="F239" s="294"/>
      <c r="G239" s="295"/>
      <c r="J239" s="296"/>
      <c r="K239" s="295"/>
      <c r="M239" s="296"/>
      <c r="N239" s="295"/>
      <c r="P239" s="296"/>
      <c r="T239" s="292"/>
    </row>
    <row r="240" ht="12.75" customHeight="1">
      <c r="D240" s="293"/>
      <c r="E240" s="107"/>
      <c r="F240" s="294"/>
      <c r="G240" s="295"/>
      <c r="J240" s="296"/>
      <c r="K240" s="295"/>
      <c r="M240" s="296"/>
      <c r="N240" s="295"/>
      <c r="P240" s="296"/>
      <c r="T240" s="292"/>
    </row>
    <row r="241" ht="12.75" customHeight="1">
      <c r="D241" s="293"/>
      <c r="E241" s="107"/>
      <c r="F241" s="294"/>
      <c r="G241" s="295"/>
      <c r="J241" s="296"/>
      <c r="K241" s="295"/>
      <c r="M241" s="296"/>
      <c r="N241" s="295"/>
      <c r="P241" s="296"/>
      <c r="T241" s="292"/>
    </row>
    <row r="242" ht="12.75" customHeight="1">
      <c r="D242" s="293"/>
      <c r="E242" s="107"/>
      <c r="F242" s="294"/>
      <c r="G242" s="295"/>
      <c r="J242" s="296"/>
      <c r="K242" s="295"/>
      <c r="M242" s="296"/>
      <c r="N242" s="295"/>
      <c r="P242" s="296"/>
      <c r="T242" s="292"/>
    </row>
    <row r="243" ht="12.75" customHeight="1">
      <c r="D243" s="293"/>
      <c r="E243" s="107"/>
      <c r="F243" s="294"/>
      <c r="G243" s="295"/>
      <c r="J243" s="296"/>
      <c r="K243" s="295"/>
      <c r="M243" s="296"/>
      <c r="N243" s="295"/>
      <c r="P243" s="296"/>
      <c r="T243" s="292"/>
    </row>
    <row r="244" ht="12.75" customHeight="1">
      <c r="D244" s="293"/>
      <c r="E244" s="107"/>
      <c r="F244" s="294"/>
      <c r="G244" s="295"/>
      <c r="J244" s="296"/>
      <c r="K244" s="295"/>
      <c r="M244" s="296"/>
      <c r="N244" s="295"/>
      <c r="P244" s="296"/>
      <c r="T244" s="292"/>
    </row>
    <row r="245" ht="12.75" customHeight="1">
      <c r="D245" s="293"/>
      <c r="E245" s="107"/>
      <c r="F245" s="294"/>
      <c r="G245" s="295"/>
      <c r="J245" s="296"/>
      <c r="K245" s="295"/>
      <c r="M245" s="296"/>
      <c r="N245" s="295"/>
      <c r="P245" s="296"/>
      <c r="T245" s="292"/>
    </row>
    <row r="246" ht="12.75" customHeight="1">
      <c r="D246" s="293"/>
      <c r="E246" s="107"/>
      <c r="F246" s="294"/>
      <c r="G246" s="295"/>
      <c r="J246" s="296"/>
      <c r="K246" s="295"/>
      <c r="M246" s="296"/>
      <c r="N246" s="295"/>
      <c r="P246" s="296"/>
      <c r="T246" s="292"/>
    </row>
    <row r="247" ht="12.75" customHeight="1">
      <c r="D247" s="293"/>
      <c r="E247" s="107"/>
      <c r="F247" s="294"/>
      <c r="G247" s="295"/>
      <c r="J247" s="296"/>
      <c r="K247" s="295"/>
      <c r="M247" s="296"/>
      <c r="N247" s="295"/>
      <c r="P247" s="296"/>
      <c r="T247" s="292"/>
    </row>
    <row r="248" ht="12.75" customHeight="1">
      <c r="D248" s="293"/>
      <c r="E248" s="107"/>
      <c r="F248" s="294"/>
      <c r="G248" s="295"/>
      <c r="J248" s="296"/>
      <c r="K248" s="295"/>
      <c r="M248" s="296"/>
      <c r="N248" s="295"/>
      <c r="P248" s="296"/>
      <c r="T248" s="292"/>
    </row>
    <row r="249" ht="12.75" customHeight="1">
      <c r="D249" s="293"/>
      <c r="E249" s="107"/>
      <c r="F249" s="294"/>
      <c r="G249" s="295"/>
      <c r="J249" s="296"/>
      <c r="K249" s="295"/>
      <c r="M249" s="296"/>
      <c r="N249" s="295"/>
      <c r="P249" s="296"/>
      <c r="T249" s="292"/>
    </row>
    <row r="250" ht="12.75" customHeight="1">
      <c r="D250" s="293"/>
      <c r="E250" s="107"/>
      <c r="F250" s="294"/>
      <c r="G250" s="295"/>
      <c r="J250" s="296"/>
      <c r="K250" s="295"/>
      <c r="M250" s="296"/>
      <c r="N250" s="295"/>
      <c r="P250" s="296"/>
      <c r="T250" s="292"/>
    </row>
    <row r="251" ht="12.75" customHeight="1">
      <c r="D251" s="293"/>
      <c r="E251" s="107"/>
      <c r="F251" s="294"/>
      <c r="G251" s="295"/>
      <c r="J251" s="296"/>
      <c r="K251" s="295"/>
      <c r="M251" s="296"/>
      <c r="N251" s="295"/>
      <c r="P251" s="296"/>
      <c r="T251" s="292"/>
    </row>
    <row r="252" ht="12.75" customHeight="1">
      <c r="D252" s="293"/>
      <c r="E252" s="107"/>
      <c r="F252" s="294"/>
      <c r="G252" s="295"/>
      <c r="J252" s="296"/>
      <c r="K252" s="295"/>
      <c r="M252" s="296"/>
      <c r="N252" s="295"/>
      <c r="P252" s="296"/>
      <c r="T252" s="292"/>
    </row>
    <row r="253" ht="12.75" customHeight="1">
      <c r="D253" s="293"/>
      <c r="E253" s="107"/>
      <c r="F253" s="294"/>
      <c r="G253" s="295"/>
      <c r="J253" s="296"/>
      <c r="K253" s="295"/>
      <c r="M253" s="296"/>
      <c r="N253" s="295"/>
      <c r="P253" s="296"/>
      <c r="T253" s="292"/>
    </row>
    <row r="254" ht="12.75" customHeight="1">
      <c r="D254" s="293"/>
      <c r="E254" s="107"/>
      <c r="F254" s="294"/>
      <c r="G254" s="295"/>
      <c r="J254" s="296"/>
      <c r="K254" s="295"/>
      <c r="M254" s="296"/>
      <c r="N254" s="295"/>
      <c r="P254" s="296"/>
      <c r="T254" s="292"/>
    </row>
    <row r="255" ht="12.75" customHeight="1">
      <c r="D255" s="293"/>
      <c r="E255" s="107"/>
      <c r="F255" s="294"/>
      <c r="G255" s="295"/>
      <c r="J255" s="296"/>
      <c r="K255" s="295"/>
      <c r="M255" s="296"/>
      <c r="N255" s="295"/>
      <c r="P255" s="296"/>
      <c r="T255" s="292"/>
    </row>
    <row r="256" ht="12.75" customHeight="1">
      <c r="D256" s="293"/>
      <c r="E256" s="107"/>
      <c r="F256" s="294"/>
      <c r="G256" s="295"/>
      <c r="J256" s="296"/>
      <c r="K256" s="295"/>
      <c r="M256" s="296"/>
      <c r="N256" s="295"/>
      <c r="P256" s="296"/>
      <c r="T256" s="292"/>
    </row>
    <row r="257" ht="12.75" customHeight="1">
      <c r="D257" s="293"/>
      <c r="E257" s="107"/>
      <c r="F257" s="294"/>
      <c r="G257" s="295"/>
      <c r="J257" s="296"/>
      <c r="K257" s="295"/>
      <c r="M257" s="296"/>
      <c r="N257" s="295"/>
      <c r="P257" s="296"/>
      <c r="T257" s="292"/>
    </row>
    <row r="258" ht="12.75" customHeight="1">
      <c r="D258" s="293"/>
      <c r="E258" s="107"/>
      <c r="F258" s="294"/>
      <c r="G258" s="295"/>
      <c r="J258" s="296"/>
      <c r="K258" s="295"/>
      <c r="M258" s="296"/>
      <c r="N258" s="295"/>
      <c r="P258" s="296"/>
      <c r="T258" s="292"/>
    </row>
    <row r="259" ht="12.75" customHeight="1">
      <c r="D259" s="293"/>
      <c r="E259" s="107"/>
      <c r="F259" s="294"/>
      <c r="G259" s="295"/>
      <c r="J259" s="296"/>
      <c r="K259" s="295"/>
      <c r="M259" s="296"/>
      <c r="N259" s="295"/>
      <c r="P259" s="296"/>
      <c r="T259" s="292"/>
    </row>
    <row r="260" ht="12.75" customHeight="1">
      <c r="D260" s="293"/>
      <c r="E260" s="107"/>
      <c r="F260" s="294"/>
      <c r="G260" s="295"/>
      <c r="J260" s="296"/>
      <c r="K260" s="295"/>
      <c r="M260" s="296"/>
      <c r="N260" s="295"/>
      <c r="P260" s="296"/>
      <c r="T260" s="292"/>
    </row>
    <row r="261" ht="12.75" customHeight="1">
      <c r="D261" s="293"/>
      <c r="E261" s="107"/>
      <c r="F261" s="294"/>
      <c r="G261" s="295"/>
      <c r="J261" s="296"/>
      <c r="K261" s="295"/>
      <c r="M261" s="296"/>
      <c r="N261" s="295"/>
      <c r="P261" s="296"/>
      <c r="T261" s="292"/>
    </row>
    <row r="262" ht="12.75" customHeight="1">
      <c r="D262" s="293"/>
      <c r="E262" s="107"/>
      <c r="F262" s="294"/>
      <c r="G262" s="295"/>
      <c r="J262" s="296"/>
      <c r="K262" s="295"/>
      <c r="M262" s="296"/>
      <c r="N262" s="295"/>
      <c r="P262" s="296"/>
      <c r="T262" s="292"/>
    </row>
    <row r="263" ht="12.75" customHeight="1">
      <c r="D263" s="293"/>
      <c r="E263" s="107"/>
      <c r="F263" s="294"/>
      <c r="G263" s="295"/>
      <c r="J263" s="296"/>
      <c r="K263" s="295"/>
      <c r="M263" s="296"/>
      <c r="N263" s="295"/>
      <c r="P263" s="296"/>
      <c r="T263" s="292"/>
    </row>
    <row r="264" ht="12.75" customHeight="1">
      <c r="D264" s="293"/>
      <c r="E264" s="107"/>
      <c r="F264" s="294"/>
      <c r="G264" s="295"/>
      <c r="J264" s="296"/>
      <c r="K264" s="295"/>
      <c r="M264" s="296"/>
      <c r="N264" s="295"/>
      <c r="P264" s="296"/>
      <c r="T264" s="292"/>
    </row>
    <row r="265" ht="12.75" customHeight="1">
      <c r="D265" s="293"/>
      <c r="E265" s="107"/>
      <c r="F265" s="294"/>
      <c r="G265" s="295"/>
      <c r="J265" s="296"/>
      <c r="K265" s="295"/>
      <c r="M265" s="296"/>
      <c r="N265" s="295"/>
      <c r="P265" s="296"/>
      <c r="T265" s="292"/>
    </row>
    <row r="266" ht="12.75" customHeight="1">
      <c r="D266" s="293"/>
      <c r="E266" s="107"/>
      <c r="F266" s="294"/>
      <c r="G266" s="295"/>
      <c r="J266" s="296"/>
      <c r="K266" s="295"/>
      <c r="M266" s="296"/>
      <c r="N266" s="295"/>
      <c r="P266" s="296"/>
      <c r="T266" s="292"/>
    </row>
    <row r="267" ht="12.75" customHeight="1">
      <c r="D267" s="293"/>
      <c r="E267" s="107"/>
      <c r="F267" s="294"/>
      <c r="G267" s="295"/>
      <c r="J267" s="296"/>
      <c r="K267" s="295"/>
      <c r="M267" s="296"/>
      <c r="N267" s="295"/>
      <c r="P267" s="296"/>
      <c r="T267" s="292"/>
    </row>
    <row r="268" ht="12.75" customHeight="1">
      <c r="D268" s="293"/>
      <c r="E268" s="107"/>
      <c r="F268" s="294"/>
      <c r="G268" s="295"/>
      <c r="J268" s="296"/>
      <c r="K268" s="295"/>
      <c r="M268" s="296"/>
      <c r="N268" s="295"/>
      <c r="P268" s="296"/>
      <c r="T268" s="292"/>
    </row>
    <row r="269" ht="12.75" customHeight="1">
      <c r="D269" s="293"/>
      <c r="E269" s="107"/>
      <c r="F269" s="294"/>
      <c r="G269" s="295"/>
      <c r="J269" s="296"/>
      <c r="K269" s="295"/>
      <c r="M269" s="296"/>
      <c r="N269" s="295"/>
      <c r="P269" s="296"/>
      <c r="T269" s="292"/>
    </row>
    <row r="270" ht="12.75" customHeight="1">
      <c r="D270" s="293"/>
      <c r="E270" s="107"/>
      <c r="F270" s="294"/>
      <c r="G270" s="295"/>
      <c r="J270" s="296"/>
      <c r="K270" s="295"/>
      <c r="M270" s="296"/>
      <c r="N270" s="295"/>
      <c r="P270" s="296"/>
      <c r="T270" s="292"/>
    </row>
    <row r="271" ht="12.75" customHeight="1">
      <c r="D271" s="293"/>
      <c r="E271" s="107"/>
      <c r="F271" s="294"/>
      <c r="G271" s="295"/>
      <c r="J271" s="296"/>
      <c r="K271" s="295"/>
      <c r="M271" s="296"/>
      <c r="N271" s="295"/>
      <c r="P271" s="296"/>
      <c r="T271" s="292"/>
    </row>
    <row r="272" ht="12.75" customHeight="1">
      <c r="D272" s="293"/>
      <c r="E272" s="107"/>
      <c r="F272" s="294"/>
      <c r="G272" s="295"/>
      <c r="J272" s="296"/>
      <c r="K272" s="295"/>
      <c r="M272" s="296"/>
      <c r="N272" s="295"/>
      <c r="P272" s="296"/>
      <c r="T272" s="292"/>
    </row>
    <row r="273" ht="12.75" customHeight="1">
      <c r="D273" s="293"/>
      <c r="E273" s="107"/>
      <c r="F273" s="294"/>
      <c r="G273" s="295"/>
      <c r="J273" s="296"/>
      <c r="K273" s="295"/>
      <c r="M273" s="296"/>
      <c r="N273" s="295"/>
      <c r="P273" s="296"/>
      <c r="T273" s="292"/>
    </row>
    <row r="274" ht="12.75" customHeight="1">
      <c r="D274" s="293"/>
      <c r="E274" s="107"/>
      <c r="F274" s="294"/>
      <c r="G274" s="295"/>
      <c r="J274" s="296"/>
      <c r="K274" s="295"/>
      <c r="M274" s="296"/>
      <c r="N274" s="295"/>
      <c r="P274" s="296"/>
      <c r="T274" s="292"/>
    </row>
    <row r="275" ht="12.75" customHeight="1">
      <c r="D275" s="293"/>
      <c r="E275" s="107"/>
      <c r="F275" s="294"/>
      <c r="G275" s="295"/>
      <c r="J275" s="296"/>
      <c r="K275" s="295"/>
      <c r="M275" s="296"/>
      <c r="N275" s="295"/>
      <c r="P275" s="296"/>
      <c r="T275" s="292"/>
    </row>
    <row r="276" ht="12.75" customHeight="1">
      <c r="D276" s="293"/>
      <c r="E276" s="107"/>
      <c r="F276" s="294"/>
      <c r="G276" s="295"/>
      <c r="J276" s="296"/>
      <c r="K276" s="295"/>
      <c r="M276" s="296"/>
      <c r="N276" s="295"/>
      <c r="P276" s="296"/>
      <c r="T276" s="292"/>
    </row>
    <row r="277" ht="12.75" customHeight="1">
      <c r="D277" s="293"/>
      <c r="E277" s="107"/>
      <c r="F277" s="294"/>
      <c r="G277" s="295"/>
      <c r="J277" s="296"/>
      <c r="K277" s="295"/>
      <c r="M277" s="296"/>
      <c r="N277" s="295"/>
      <c r="P277" s="296"/>
      <c r="T277" s="292"/>
    </row>
    <row r="278" ht="12.75" customHeight="1">
      <c r="D278" s="293"/>
      <c r="E278" s="107"/>
      <c r="F278" s="294"/>
      <c r="G278" s="295"/>
      <c r="J278" s="296"/>
      <c r="K278" s="295"/>
      <c r="M278" s="296"/>
      <c r="N278" s="295"/>
      <c r="P278" s="296"/>
      <c r="T278" s="292"/>
    </row>
    <row r="279" ht="12.75" customHeight="1">
      <c r="D279" s="293"/>
      <c r="E279" s="107"/>
      <c r="F279" s="294"/>
      <c r="G279" s="295"/>
      <c r="J279" s="296"/>
      <c r="K279" s="295"/>
      <c r="M279" s="296"/>
      <c r="N279" s="295"/>
      <c r="P279" s="296"/>
      <c r="T279" s="292"/>
    </row>
    <row r="280" ht="12.75" customHeight="1">
      <c r="D280" s="293"/>
      <c r="E280" s="107"/>
      <c r="F280" s="294"/>
      <c r="G280" s="295"/>
      <c r="J280" s="296"/>
      <c r="K280" s="295"/>
      <c r="M280" s="296"/>
      <c r="N280" s="295"/>
      <c r="P280" s="296"/>
      <c r="T280" s="292"/>
    </row>
    <row r="281" ht="12.75" customHeight="1">
      <c r="D281" s="293"/>
      <c r="E281" s="107"/>
      <c r="F281" s="294"/>
      <c r="G281" s="295"/>
      <c r="J281" s="296"/>
      <c r="K281" s="295"/>
      <c r="M281" s="296"/>
      <c r="N281" s="295"/>
      <c r="P281" s="296"/>
      <c r="T281" s="292"/>
    </row>
    <row r="282" ht="12.75" customHeight="1">
      <c r="D282" s="293"/>
      <c r="E282" s="107"/>
      <c r="F282" s="294"/>
      <c r="G282" s="295"/>
      <c r="J282" s="296"/>
      <c r="K282" s="295"/>
      <c r="M282" s="296"/>
      <c r="N282" s="295"/>
      <c r="P282" s="296"/>
      <c r="T282" s="292"/>
    </row>
    <row r="283" ht="12.75" customHeight="1">
      <c r="D283" s="293"/>
      <c r="E283" s="107"/>
      <c r="F283" s="294"/>
      <c r="G283" s="295"/>
      <c r="J283" s="296"/>
      <c r="K283" s="295"/>
      <c r="M283" s="296"/>
      <c r="N283" s="295"/>
      <c r="P283" s="296"/>
      <c r="T283" s="292"/>
    </row>
    <row r="284" ht="12.75" customHeight="1">
      <c r="D284" s="293"/>
      <c r="E284" s="107"/>
      <c r="F284" s="294"/>
      <c r="G284" s="295"/>
      <c r="J284" s="296"/>
      <c r="K284" s="295"/>
      <c r="M284" s="296"/>
      <c r="N284" s="295"/>
      <c r="P284" s="296"/>
      <c r="T284" s="292"/>
    </row>
    <row r="285" ht="12.75" customHeight="1">
      <c r="D285" s="293"/>
      <c r="E285" s="107"/>
      <c r="F285" s="294"/>
      <c r="G285" s="295"/>
      <c r="J285" s="296"/>
      <c r="K285" s="295"/>
      <c r="M285" s="296"/>
      <c r="N285" s="295"/>
      <c r="P285" s="296"/>
      <c r="T285" s="292"/>
    </row>
    <row r="286" ht="12.75" customHeight="1">
      <c r="D286" s="293"/>
      <c r="E286" s="107"/>
      <c r="F286" s="294"/>
      <c r="G286" s="295"/>
      <c r="J286" s="296"/>
      <c r="K286" s="295"/>
      <c r="M286" s="296"/>
      <c r="N286" s="295"/>
      <c r="P286" s="296"/>
      <c r="T286" s="292"/>
    </row>
    <row r="287" ht="12.75" customHeight="1">
      <c r="D287" s="293"/>
      <c r="E287" s="107"/>
      <c r="F287" s="294"/>
      <c r="G287" s="295"/>
      <c r="J287" s="296"/>
      <c r="K287" s="295"/>
      <c r="M287" s="296"/>
      <c r="N287" s="295"/>
      <c r="P287" s="296"/>
      <c r="T287" s="292"/>
    </row>
    <row r="288" ht="12.75" customHeight="1">
      <c r="D288" s="293"/>
      <c r="E288" s="107"/>
      <c r="F288" s="294"/>
      <c r="G288" s="295"/>
      <c r="J288" s="296"/>
      <c r="K288" s="295"/>
      <c r="M288" s="296"/>
      <c r="N288" s="295"/>
      <c r="P288" s="296"/>
      <c r="T288" s="292"/>
    </row>
    <row r="289" ht="12.75" customHeight="1">
      <c r="D289" s="293"/>
      <c r="E289" s="107"/>
      <c r="F289" s="294"/>
      <c r="G289" s="295"/>
      <c r="J289" s="296"/>
      <c r="K289" s="295"/>
      <c r="M289" s="296"/>
      <c r="N289" s="295"/>
      <c r="P289" s="296"/>
      <c r="T289" s="292"/>
    </row>
    <row r="290" ht="12.75" customHeight="1">
      <c r="D290" s="293"/>
      <c r="E290" s="107"/>
      <c r="F290" s="294"/>
      <c r="G290" s="295"/>
      <c r="J290" s="296"/>
      <c r="K290" s="295"/>
      <c r="M290" s="296"/>
      <c r="N290" s="295"/>
      <c r="P290" s="296"/>
      <c r="T290" s="292"/>
    </row>
    <row r="291" ht="12.75" customHeight="1">
      <c r="D291" s="293"/>
      <c r="E291" s="107"/>
      <c r="F291" s="294"/>
      <c r="G291" s="295"/>
      <c r="J291" s="296"/>
      <c r="K291" s="295"/>
      <c r="M291" s="296"/>
      <c r="N291" s="295"/>
      <c r="P291" s="296"/>
      <c r="T291" s="292"/>
    </row>
    <row r="292" ht="12.75" customHeight="1">
      <c r="D292" s="293"/>
      <c r="E292" s="107"/>
      <c r="F292" s="294"/>
      <c r="G292" s="295"/>
      <c r="J292" s="296"/>
      <c r="K292" s="295"/>
      <c r="M292" s="296"/>
      <c r="N292" s="295"/>
      <c r="P292" s="296"/>
      <c r="T292" s="292"/>
    </row>
    <row r="293" ht="12.75" customHeight="1">
      <c r="D293" s="293"/>
      <c r="E293" s="107"/>
      <c r="F293" s="294"/>
      <c r="G293" s="295"/>
      <c r="J293" s="296"/>
      <c r="K293" s="295"/>
      <c r="M293" s="296"/>
      <c r="N293" s="295"/>
      <c r="P293" s="296"/>
      <c r="T293" s="292"/>
    </row>
    <row r="294" ht="12.75" customHeight="1">
      <c r="D294" s="293"/>
      <c r="E294" s="107"/>
      <c r="F294" s="294"/>
      <c r="G294" s="295"/>
      <c r="J294" s="296"/>
      <c r="K294" s="295"/>
      <c r="M294" s="296"/>
      <c r="N294" s="295"/>
      <c r="P294" s="296"/>
      <c r="T294" s="292"/>
    </row>
    <row r="295" ht="12.75" customHeight="1">
      <c r="D295" s="293"/>
      <c r="E295" s="107"/>
      <c r="F295" s="294"/>
      <c r="G295" s="295"/>
      <c r="J295" s="296"/>
      <c r="K295" s="295"/>
      <c r="M295" s="296"/>
      <c r="N295" s="295"/>
      <c r="P295" s="296"/>
      <c r="T295" s="292"/>
    </row>
    <row r="296" ht="12.75" customHeight="1">
      <c r="D296" s="293"/>
      <c r="E296" s="107"/>
      <c r="F296" s="294"/>
      <c r="G296" s="295"/>
      <c r="J296" s="296"/>
      <c r="K296" s="295"/>
      <c r="M296" s="296"/>
      <c r="N296" s="295"/>
      <c r="P296" s="296"/>
      <c r="T296" s="292"/>
    </row>
    <row r="297" ht="12.75" customHeight="1">
      <c r="D297" s="293"/>
      <c r="E297" s="107"/>
      <c r="F297" s="294"/>
      <c r="G297" s="295"/>
      <c r="J297" s="296"/>
      <c r="K297" s="295"/>
      <c r="M297" s="296"/>
      <c r="N297" s="295"/>
      <c r="P297" s="296"/>
      <c r="T297" s="292"/>
    </row>
    <row r="298" ht="12.75" customHeight="1">
      <c r="D298" s="293"/>
      <c r="E298" s="107"/>
      <c r="F298" s="294"/>
      <c r="G298" s="295"/>
      <c r="J298" s="296"/>
      <c r="K298" s="295"/>
      <c r="M298" s="296"/>
      <c r="N298" s="295"/>
      <c r="P298" s="296"/>
      <c r="T298" s="292"/>
    </row>
    <row r="299" ht="12.75" customHeight="1">
      <c r="D299" s="293"/>
      <c r="E299" s="107"/>
      <c r="F299" s="294"/>
      <c r="G299" s="295"/>
      <c r="J299" s="296"/>
      <c r="K299" s="295"/>
      <c r="M299" s="296"/>
      <c r="N299" s="295"/>
      <c r="P299" s="296"/>
      <c r="T299" s="292"/>
    </row>
    <row r="300" ht="12.75" customHeight="1">
      <c r="D300" s="293"/>
      <c r="E300" s="107"/>
      <c r="F300" s="294"/>
      <c r="G300" s="295"/>
      <c r="J300" s="296"/>
      <c r="K300" s="295"/>
      <c r="M300" s="296"/>
      <c r="N300" s="295"/>
      <c r="P300" s="296"/>
      <c r="T300" s="292"/>
    </row>
    <row r="301" ht="12.75" customHeight="1">
      <c r="D301" s="293"/>
      <c r="E301" s="107"/>
      <c r="F301" s="294"/>
      <c r="G301" s="295"/>
      <c r="J301" s="296"/>
      <c r="K301" s="295"/>
      <c r="M301" s="296"/>
      <c r="N301" s="295"/>
      <c r="P301" s="296"/>
      <c r="T301" s="292"/>
    </row>
    <row r="302" ht="12.75" customHeight="1">
      <c r="D302" s="293"/>
      <c r="E302" s="107"/>
      <c r="F302" s="294"/>
      <c r="G302" s="295"/>
      <c r="J302" s="296"/>
      <c r="K302" s="295"/>
      <c r="M302" s="296"/>
      <c r="N302" s="295"/>
      <c r="P302" s="296"/>
      <c r="T302" s="292"/>
    </row>
    <row r="303" ht="12.75" customHeight="1">
      <c r="D303" s="293"/>
      <c r="E303" s="107"/>
      <c r="F303" s="294"/>
      <c r="G303" s="295"/>
      <c r="J303" s="296"/>
      <c r="K303" s="295"/>
      <c r="M303" s="296"/>
      <c r="N303" s="295"/>
      <c r="P303" s="296"/>
      <c r="T303" s="292"/>
    </row>
    <row r="304" ht="12.75" customHeight="1">
      <c r="D304" s="293"/>
      <c r="E304" s="107"/>
      <c r="F304" s="294"/>
      <c r="G304" s="295"/>
      <c r="J304" s="296"/>
      <c r="K304" s="295"/>
      <c r="M304" s="296"/>
      <c r="N304" s="295"/>
      <c r="P304" s="296"/>
      <c r="T304" s="292"/>
    </row>
    <row r="305" ht="12.75" customHeight="1">
      <c r="D305" s="293"/>
      <c r="E305" s="107"/>
      <c r="F305" s="294"/>
      <c r="G305" s="295"/>
      <c r="J305" s="296"/>
      <c r="K305" s="295"/>
      <c r="M305" s="296"/>
      <c r="N305" s="295"/>
      <c r="P305" s="296"/>
      <c r="T305" s="292"/>
    </row>
    <row r="306" ht="12.75" customHeight="1">
      <c r="D306" s="293"/>
      <c r="E306" s="107"/>
      <c r="F306" s="294"/>
      <c r="G306" s="295"/>
      <c r="J306" s="296"/>
      <c r="K306" s="295"/>
      <c r="M306" s="296"/>
      <c r="N306" s="295"/>
      <c r="P306" s="296"/>
      <c r="T306" s="292"/>
    </row>
    <row r="307" ht="12.75" customHeight="1">
      <c r="D307" s="293"/>
      <c r="E307" s="107"/>
      <c r="F307" s="294"/>
      <c r="G307" s="295"/>
      <c r="J307" s="296"/>
      <c r="K307" s="295"/>
      <c r="M307" s="296"/>
      <c r="N307" s="295"/>
      <c r="P307" s="296"/>
      <c r="T307" s="292"/>
    </row>
    <row r="308" ht="12.75" customHeight="1">
      <c r="D308" s="293"/>
      <c r="E308" s="107"/>
      <c r="F308" s="294"/>
      <c r="G308" s="295"/>
      <c r="J308" s="296"/>
      <c r="K308" s="295"/>
      <c r="M308" s="296"/>
      <c r="N308" s="295"/>
      <c r="P308" s="296"/>
      <c r="T308" s="292"/>
    </row>
    <row r="309" ht="12.75" customHeight="1">
      <c r="D309" s="293"/>
      <c r="E309" s="107"/>
      <c r="F309" s="294"/>
      <c r="G309" s="295"/>
      <c r="J309" s="296"/>
      <c r="K309" s="295"/>
      <c r="M309" s="296"/>
      <c r="N309" s="295"/>
      <c r="P309" s="296"/>
      <c r="T309" s="292"/>
    </row>
    <row r="310" ht="12.75" customHeight="1">
      <c r="D310" s="293"/>
      <c r="E310" s="107"/>
      <c r="F310" s="294"/>
      <c r="G310" s="295"/>
      <c r="J310" s="296"/>
      <c r="K310" s="295"/>
      <c r="M310" s="296"/>
      <c r="N310" s="295"/>
      <c r="P310" s="296"/>
      <c r="T310" s="292"/>
    </row>
    <row r="311" ht="12.75" customHeight="1">
      <c r="D311" s="293"/>
      <c r="E311" s="107"/>
      <c r="F311" s="294"/>
      <c r="G311" s="295"/>
      <c r="J311" s="296"/>
      <c r="K311" s="295"/>
      <c r="M311" s="296"/>
      <c r="N311" s="295"/>
      <c r="P311" s="296"/>
      <c r="T311" s="292"/>
    </row>
    <row r="312" ht="12.75" customHeight="1">
      <c r="D312" s="293"/>
      <c r="E312" s="107"/>
      <c r="F312" s="294"/>
      <c r="G312" s="295"/>
      <c r="J312" s="296"/>
      <c r="K312" s="295"/>
      <c r="M312" s="296"/>
      <c r="N312" s="295"/>
      <c r="P312" s="296"/>
      <c r="T312" s="292"/>
    </row>
    <row r="313" ht="12.75" customHeight="1">
      <c r="D313" s="293"/>
      <c r="E313" s="107"/>
      <c r="F313" s="294"/>
      <c r="G313" s="295"/>
      <c r="J313" s="296"/>
      <c r="K313" s="295"/>
      <c r="M313" s="296"/>
      <c r="N313" s="295"/>
      <c r="P313" s="296"/>
      <c r="T313" s="292"/>
    </row>
    <row r="314" ht="12.75" customHeight="1">
      <c r="D314" s="293"/>
      <c r="E314" s="107"/>
      <c r="F314" s="294"/>
      <c r="G314" s="295"/>
      <c r="J314" s="296"/>
      <c r="K314" s="295"/>
      <c r="M314" s="296"/>
      <c r="N314" s="295"/>
      <c r="P314" s="296"/>
      <c r="T314" s="292"/>
    </row>
    <row r="315" ht="12.75" customHeight="1">
      <c r="D315" s="293"/>
      <c r="E315" s="107"/>
      <c r="F315" s="294"/>
      <c r="G315" s="295"/>
      <c r="J315" s="296"/>
      <c r="K315" s="295"/>
      <c r="M315" s="296"/>
      <c r="N315" s="295"/>
      <c r="P315" s="296"/>
      <c r="T315" s="292"/>
    </row>
    <row r="316" ht="12.75" customHeight="1">
      <c r="D316" s="293"/>
      <c r="E316" s="107"/>
      <c r="F316" s="294"/>
      <c r="G316" s="295"/>
      <c r="J316" s="296"/>
      <c r="K316" s="295"/>
      <c r="M316" s="296"/>
      <c r="N316" s="295"/>
      <c r="P316" s="296"/>
      <c r="T316" s="292"/>
    </row>
    <row r="317" ht="12.75" customHeight="1">
      <c r="D317" s="293"/>
      <c r="E317" s="107"/>
      <c r="F317" s="294"/>
      <c r="G317" s="295"/>
      <c r="J317" s="296"/>
      <c r="K317" s="295"/>
      <c r="M317" s="296"/>
      <c r="N317" s="295"/>
      <c r="P317" s="296"/>
      <c r="T317" s="292"/>
    </row>
    <row r="318" ht="12.75" customHeight="1">
      <c r="D318" s="293"/>
      <c r="E318" s="107"/>
      <c r="F318" s="294"/>
      <c r="G318" s="295"/>
      <c r="J318" s="296"/>
      <c r="K318" s="295"/>
      <c r="M318" s="296"/>
      <c r="N318" s="295"/>
      <c r="P318" s="296"/>
      <c r="T318" s="292"/>
    </row>
    <row r="319" ht="12.75" customHeight="1">
      <c r="D319" s="293"/>
      <c r="E319" s="107"/>
      <c r="F319" s="294"/>
      <c r="G319" s="295"/>
      <c r="J319" s="296"/>
      <c r="K319" s="295"/>
      <c r="M319" s="296"/>
      <c r="N319" s="295"/>
      <c r="P319" s="296"/>
      <c r="T319" s="292"/>
    </row>
    <row r="320" ht="12.75" customHeight="1">
      <c r="D320" s="293"/>
      <c r="E320" s="107"/>
      <c r="F320" s="294"/>
      <c r="G320" s="295"/>
      <c r="J320" s="296"/>
      <c r="K320" s="295"/>
      <c r="M320" s="296"/>
      <c r="N320" s="295"/>
      <c r="P320" s="296"/>
      <c r="T320" s="292"/>
    </row>
    <row r="321" ht="12.75" customHeight="1">
      <c r="D321" s="293"/>
      <c r="E321" s="107"/>
      <c r="F321" s="294"/>
      <c r="G321" s="295"/>
      <c r="J321" s="296"/>
      <c r="K321" s="295"/>
      <c r="M321" s="296"/>
      <c r="N321" s="295"/>
      <c r="P321" s="296"/>
      <c r="T321" s="292"/>
    </row>
    <row r="322" ht="12.75" customHeight="1">
      <c r="D322" s="293"/>
      <c r="E322" s="107"/>
      <c r="F322" s="294"/>
      <c r="G322" s="295"/>
      <c r="J322" s="296"/>
      <c r="K322" s="295"/>
      <c r="M322" s="296"/>
      <c r="N322" s="295"/>
      <c r="P322" s="296"/>
      <c r="T322" s="292"/>
    </row>
    <row r="323" ht="12.75" customHeight="1">
      <c r="D323" s="293"/>
      <c r="E323" s="107"/>
      <c r="F323" s="294"/>
      <c r="G323" s="295"/>
      <c r="J323" s="296"/>
      <c r="K323" s="295"/>
      <c r="M323" s="296"/>
      <c r="N323" s="295"/>
      <c r="P323" s="296"/>
      <c r="T323" s="292"/>
    </row>
    <row r="324" ht="12.75" customHeight="1">
      <c r="D324" s="293"/>
      <c r="E324" s="107"/>
      <c r="F324" s="294"/>
      <c r="G324" s="295"/>
      <c r="J324" s="296"/>
      <c r="K324" s="295"/>
      <c r="M324" s="296"/>
      <c r="N324" s="295"/>
      <c r="P324" s="296"/>
      <c r="T324" s="292"/>
    </row>
    <row r="325" ht="12.75" customHeight="1">
      <c r="D325" s="293"/>
      <c r="E325" s="107"/>
      <c r="F325" s="294"/>
      <c r="G325" s="295"/>
      <c r="J325" s="296"/>
      <c r="K325" s="295"/>
      <c r="M325" s="296"/>
      <c r="N325" s="295"/>
      <c r="P325" s="296"/>
      <c r="T325" s="292"/>
    </row>
    <row r="326" ht="12.75" customHeight="1">
      <c r="D326" s="293"/>
      <c r="E326" s="107"/>
      <c r="F326" s="294"/>
      <c r="G326" s="295"/>
      <c r="J326" s="296"/>
      <c r="K326" s="295"/>
      <c r="M326" s="296"/>
      <c r="N326" s="295"/>
      <c r="P326" s="296"/>
      <c r="T326" s="292"/>
    </row>
    <row r="327" ht="12.75" customHeight="1">
      <c r="D327" s="293"/>
      <c r="E327" s="107"/>
      <c r="F327" s="294"/>
      <c r="G327" s="295"/>
      <c r="J327" s="296"/>
      <c r="K327" s="295"/>
      <c r="M327" s="296"/>
      <c r="N327" s="295"/>
      <c r="P327" s="296"/>
      <c r="T327" s="292"/>
    </row>
    <row r="328" ht="12.75" customHeight="1">
      <c r="D328" s="293"/>
      <c r="E328" s="107"/>
      <c r="F328" s="294"/>
      <c r="G328" s="295"/>
      <c r="J328" s="296"/>
      <c r="K328" s="295"/>
      <c r="M328" s="296"/>
      <c r="N328" s="295"/>
      <c r="P328" s="296"/>
      <c r="T328" s="292"/>
    </row>
    <row r="329" ht="12.75" customHeight="1">
      <c r="D329" s="293"/>
      <c r="E329" s="107"/>
      <c r="F329" s="294"/>
      <c r="G329" s="295"/>
      <c r="J329" s="296"/>
      <c r="K329" s="295"/>
      <c r="M329" s="296"/>
      <c r="N329" s="295"/>
      <c r="P329" s="296"/>
      <c r="T329" s="292"/>
    </row>
    <row r="330" ht="12.75" customHeight="1">
      <c r="D330" s="293"/>
      <c r="E330" s="107"/>
      <c r="F330" s="294"/>
      <c r="G330" s="295"/>
      <c r="J330" s="296"/>
      <c r="K330" s="295"/>
      <c r="M330" s="296"/>
      <c r="N330" s="295"/>
      <c r="P330" s="296"/>
      <c r="T330" s="292"/>
    </row>
    <row r="331" ht="12.75" customHeight="1">
      <c r="D331" s="293"/>
      <c r="E331" s="107"/>
      <c r="F331" s="294"/>
      <c r="G331" s="295"/>
      <c r="J331" s="296"/>
      <c r="K331" s="295"/>
      <c r="M331" s="296"/>
      <c r="N331" s="295"/>
      <c r="P331" s="296"/>
      <c r="T331" s="292"/>
    </row>
    <row r="332" ht="12.75" customHeight="1">
      <c r="D332" s="293"/>
      <c r="E332" s="107"/>
      <c r="F332" s="294"/>
      <c r="G332" s="295"/>
      <c r="J332" s="296"/>
      <c r="K332" s="295"/>
      <c r="M332" s="296"/>
      <c r="N332" s="295"/>
      <c r="P332" s="296"/>
      <c r="T332" s="292"/>
    </row>
    <row r="333" ht="12.75" customHeight="1">
      <c r="D333" s="293"/>
      <c r="E333" s="107"/>
      <c r="F333" s="294"/>
      <c r="G333" s="295"/>
      <c r="J333" s="296"/>
      <c r="K333" s="295"/>
      <c r="M333" s="296"/>
      <c r="N333" s="295"/>
      <c r="P333" s="296"/>
      <c r="T333" s="292"/>
    </row>
    <row r="334" ht="12.75" customHeight="1">
      <c r="D334" s="293"/>
      <c r="E334" s="107"/>
      <c r="F334" s="294"/>
      <c r="G334" s="295"/>
      <c r="J334" s="296"/>
      <c r="K334" s="295"/>
      <c r="M334" s="296"/>
      <c r="N334" s="295"/>
      <c r="P334" s="296"/>
      <c r="T334" s="292"/>
    </row>
    <row r="335" ht="12.75" customHeight="1">
      <c r="D335" s="293"/>
      <c r="E335" s="107"/>
      <c r="F335" s="294"/>
      <c r="G335" s="295"/>
      <c r="J335" s="296"/>
      <c r="K335" s="295"/>
      <c r="M335" s="296"/>
      <c r="N335" s="295"/>
      <c r="P335" s="296"/>
      <c r="T335" s="292"/>
    </row>
    <row r="336" ht="12.75" customHeight="1">
      <c r="D336" s="293"/>
      <c r="E336" s="107"/>
      <c r="F336" s="294"/>
      <c r="G336" s="295"/>
      <c r="J336" s="296"/>
      <c r="K336" s="295"/>
      <c r="M336" s="296"/>
      <c r="N336" s="295"/>
      <c r="P336" s="296"/>
      <c r="T336" s="292"/>
    </row>
    <row r="337" ht="12.75" customHeight="1">
      <c r="D337" s="293"/>
      <c r="E337" s="107"/>
      <c r="F337" s="294"/>
      <c r="G337" s="295"/>
      <c r="J337" s="296"/>
      <c r="K337" s="295"/>
      <c r="M337" s="296"/>
      <c r="N337" s="295"/>
      <c r="P337" s="296"/>
      <c r="T337" s="292"/>
    </row>
    <row r="338" ht="12.75" customHeight="1">
      <c r="D338" s="293"/>
      <c r="E338" s="107"/>
      <c r="F338" s="294"/>
      <c r="G338" s="295"/>
      <c r="J338" s="296"/>
      <c r="K338" s="295"/>
      <c r="M338" s="296"/>
      <c r="N338" s="295"/>
      <c r="P338" s="296"/>
      <c r="T338" s="292"/>
    </row>
    <row r="339" ht="12.75" customHeight="1">
      <c r="D339" s="293"/>
      <c r="E339" s="107"/>
      <c r="F339" s="294"/>
      <c r="G339" s="295"/>
      <c r="J339" s="296"/>
      <c r="K339" s="295"/>
      <c r="M339" s="296"/>
      <c r="N339" s="295"/>
      <c r="P339" s="296"/>
      <c r="T339" s="292"/>
    </row>
    <row r="340" ht="12.75" customHeight="1">
      <c r="D340" s="293"/>
      <c r="E340" s="107"/>
      <c r="F340" s="294"/>
      <c r="G340" s="295"/>
      <c r="J340" s="296"/>
      <c r="K340" s="295"/>
      <c r="M340" s="296"/>
      <c r="N340" s="295"/>
      <c r="P340" s="296"/>
      <c r="T340" s="292"/>
    </row>
    <row r="341" ht="12.75" customHeight="1">
      <c r="D341" s="293"/>
      <c r="E341" s="107"/>
      <c r="F341" s="294"/>
      <c r="G341" s="295"/>
      <c r="J341" s="296"/>
      <c r="K341" s="295"/>
      <c r="M341" s="296"/>
      <c r="N341" s="295"/>
      <c r="P341" s="296"/>
      <c r="T341" s="292"/>
    </row>
    <row r="342" ht="12.75" customHeight="1">
      <c r="D342" s="293"/>
      <c r="E342" s="107"/>
      <c r="F342" s="294"/>
      <c r="G342" s="295"/>
      <c r="J342" s="296"/>
      <c r="K342" s="295"/>
      <c r="M342" s="296"/>
      <c r="N342" s="295"/>
      <c r="P342" s="296"/>
      <c r="T342" s="292"/>
    </row>
    <row r="343" ht="12.75" customHeight="1">
      <c r="D343" s="293"/>
      <c r="E343" s="107"/>
      <c r="F343" s="294"/>
      <c r="G343" s="295"/>
      <c r="J343" s="296"/>
      <c r="K343" s="295"/>
      <c r="M343" s="296"/>
      <c r="N343" s="295"/>
      <c r="P343" s="296"/>
      <c r="T343" s="292"/>
    </row>
    <row r="344" ht="12.75" customHeight="1">
      <c r="D344" s="293"/>
      <c r="E344" s="107"/>
      <c r="F344" s="294"/>
      <c r="G344" s="295"/>
      <c r="J344" s="296"/>
      <c r="K344" s="295"/>
      <c r="M344" s="296"/>
      <c r="N344" s="295"/>
      <c r="P344" s="296"/>
      <c r="T344" s="292"/>
    </row>
    <row r="345" ht="12.75" customHeight="1">
      <c r="D345" s="293"/>
      <c r="E345" s="107"/>
      <c r="F345" s="294"/>
      <c r="G345" s="295"/>
      <c r="J345" s="296"/>
      <c r="K345" s="295"/>
      <c r="M345" s="296"/>
      <c r="N345" s="295"/>
      <c r="P345" s="296"/>
      <c r="T345" s="292"/>
    </row>
    <row r="346" ht="12.75" customHeight="1">
      <c r="D346" s="293"/>
      <c r="E346" s="107"/>
      <c r="F346" s="294"/>
      <c r="G346" s="295"/>
      <c r="J346" s="296"/>
      <c r="K346" s="295"/>
      <c r="M346" s="296"/>
      <c r="N346" s="295"/>
      <c r="P346" s="296"/>
      <c r="T346" s="292"/>
    </row>
    <row r="347" ht="12.75" customHeight="1">
      <c r="D347" s="293"/>
      <c r="E347" s="107"/>
      <c r="F347" s="294"/>
      <c r="G347" s="295"/>
      <c r="J347" s="296"/>
      <c r="K347" s="295"/>
      <c r="M347" s="296"/>
      <c r="N347" s="295"/>
      <c r="P347" s="296"/>
      <c r="T347" s="292"/>
    </row>
    <row r="348" ht="12.75" customHeight="1">
      <c r="D348" s="293"/>
      <c r="E348" s="107"/>
      <c r="F348" s="294"/>
      <c r="G348" s="295"/>
      <c r="J348" s="296"/>
      <c r="K348" s="295"/>
      <c r="M348" s="296"/>
      <c r="N348" s="295"/>
      <c r="P348" s="296"/>
      <c r="T348" s="292"/>
    </row>
    <row r="349" ht="12.75" customHeight="1">
      <c r="D349" s="293"/>
      <c r="E349" s="107"/>
      <c r="F349" s="294"/>
      <c r="G349" s="295"/>
      <c r="J349" s="296"/>
      <c r="K349" s="295"/>
      <c r="M349" s="296"/>
      <c r="N349" s="295"/>
      <c r="P349" s="296"/>
      <c r="T349" s="292"/>
    </row>
    <row r="350" ht="12.75" customHeight="1">
      <c r="D350" s="293"/>
      <c r="E350" s="107"/>
      <c r="F350" s="294"/>
      <c r="G350" s="295"/>
      <c r="J350" s="296"/>
      <c r="K350" s="295"/>
      <c r="M350" s="296"/>
      <c r="N350" s="295"/>
      <c r="P350" s="296"/>
      <c r="T350" s="292"/>
    </row>
    <row r="351" ht="12.75" customHeight="1">
      <c r="D351" s="293"/>
      <c r="E351" s="107"/>
      <c r="F351" s="294"/>
      <c r="G351" s="295"/>
      <c r="J351" s="296"/>
      <c r="K351" s="295"/>
      <c r="M351" s="296"/>
      <c r="N351" s="295"/>
      <c r="P351" s="296"/>
      <c r="T351" s="292"/>
    </row>
    <row r="352" ht="12.75" customHeight="1">
      <c r="D352" s="293"/>
      <c r="E352" s="107"/>
      <c r="F352" s="294"/>
      <c r="G352" s="295"/>
      <c r="J352" s="296"/>
      <c r="K352" s="295"/>
      <c r="M352" s="296"/>
      <c r="N352" s="295"/>
      <c r="P352" s="296"/>
      <c r="T352" s="292"/>
    </row>
    <row r="353" ht="12.75" customHeight="1">
      <c r="D353" s="293"/>
      <c r="E353" s="107"/>
      <c r="F353" s="294"/>
      <c r="G353" s="295"/>
      <c r="J353" s="296"/>
      <c r="K353" s="295"/>
      <c r="M353" s="296"/>
      <c r="N353" s="295"/>
      <c r="P353" s="296"/>
      <c r="T353" s="292"/>
    </row>
    <row r="354" ht="12.75" customHeight="1">
      <c r="D354" s="293"/>
      <c r="E354" s="107"/>
      <c r="F354" s="294"/>
      <c r="G354" s="295"/>
      <c r="J354" s="296"/>
      <c r="K354" s="295"/>
      <c r="M354" s="296"/>
      <c r="N354" s="295"/>
      <c r="P354" s="296"/>
      <c r="T354" s="292"/>
    </row>
    <row r="355" ht="12.75" customHeight="1">
      <c r="D355" s="293"/>
      <c r="E355" s="107"/>
      <c r="F355" s="294"/>
      <c r="G355" s="295"/>
      <c r="J355" s="296"/>
      <c r="K355" s="295"/>
      <c r="M355" s="296"/>
      <c r="N355" s="295"/>
      <c r="P355" s="296"/>
      <c r="T355" s="292"/>
    </row>
    <row r="356" ht="12.75" customHeight="1">
      <c r="D356" s="293"/>
      <c r="E356" s="107"/>
      <c r="F356" s="294"/>
      <c r="G356" s="295"/>
      <c r="J356" s="296"/>
      <c r="K356" s="295"/>
      <c r="M356" s="296"/>
      <c r="N356" s="295"/>
      <c r="P356" s="296"/>
      <c r="T356" s="292"/>
    </row>
    <row r="357" ht="12.75" customHeight="1">
      <c r="D357" s="293"/>
      <c r="E357" s="107"/>
      <c r="F357" s="294"/>
      <c r="G357" s="295"/>
      <c r="J357" s="296"/>
      <c r="K357" s="295"/>
      <c r="M357" s="296"/>
      <c r="N357" s="295"/>
      <c r="P357" s="296"/>
      <c r="T357" s="292"/>
    </row>
    <row r="358" ht="12.75" customHeight="1">
      <c r="D358" s="293"/>
      <c r="E358" s="107"/>
      <c r="F358" s="294"/>
      <c r="G358" s="295"/>
      <c r="J358" s="296"/>
      <c r="K358" s="295"/>
      <c r="M358" s="296"/>
      <c r="N358" s="295"/>
      <c r="P358" s="296"/>
      <c r="T358" s="292"/>
    </row>
    <row r="359" ht="12.75" customHeight="1">
      <c r="D359" s="293"/>
      <c r="E359" s="107"/>
      <c r="F359" s="294"/>
      <c r="G359" s="295"/>
      <c r="J359" s="296"/>
      <c r="K359" s="295"/>
      <c r="M359" s="296"/>
      <c r="N359" s="295"/>
      <c r="P359" s="296"/>
      <c r="T359" s="292"/>
    </row>
    <row r="360" ht="12.75" customHeight="1">
      <c r="D360" s="293"/>
      <c r="E360" s="107"/>
      <c r="F360" s="294"/>
      <c r="G360" s="295"/>
      <c r="J360" s="296"/>
      <c r="K360" s="295"/>
      <c r="M360" s="296"/>
      <c r="N360" s="295"/>
      <c r="P360" s="296"/>
      <c r="T360" s="292"/>
    </row>
    <row r="361" ht="12.75" customHeight="1">
      <c r="D361" s="293"/>
      <c r="E361" s="107"/>
      <c r="F361" s="294"/>
      <c r="G361" s="295"/>
      <c r="J361" s="296"/>
      <c r="K361" s="295"/>
      <c r="M361" s="296"/>
      <c r="N361" s="295"/>
      <c r="P361" s="296"/>
      <c r="T361" s="292"/>
    </row>
    <row r="362" ht="12.75" customHeight="1">
      <c r="D362" s="293"/>
      <c r="E362" s="107"/>
      <c r="F362" s="294"/>
      <c r="G362" s="295"/>
      <c r="J362" s="296"/>
      <c r="K362" s="295"/>
      <c r="M362" s="296"/>
      <c r="N362" s="295"/>
      <c r="P362" s="296"/>
      <c r="T362" s="292"/>
    </row>
    <row r="363" ht="12.75" customHeight="1">
      <c r="D363" s="293"/>
      <c r="E363" s="107"/>
      <c r="F363" s="294"/>
      <c r="G363" s="295"/>
      <c r="J363" s="296"/>
      <c r="K363" s="295"/>
      <c r="M363" s="296"/>
      <c r="N363" s="295"/>
      <c r="P363" s="296"/>
      <c r="T363" s="292"/>
    </row>
    <row r="364" ht="12.75" customHeight="1">
      <c r="D364" s="293"/>
      <c r="E364" s="107"/>
      <c r="F364" s="294"/>
      <c r="G364" s="295"/>
      <c r="J364" s="296"/>
      <c r="K364" s="295"/>
      <c r="M364" s="296"/>
      <c r="N364" s="295"/>
      <c r="P364" s="296"/>
      <c r="T364" s="292"/>
    </row>
    <row r="365" ht="12.75" customHeight="1">
      <c r="D365" s="293"/>
      <c r="E365" s="107"/>
      <c r="F365" s="294"/>
      <c r="G365" s="295"/>
      <c r="J365" s="296"/>
      <c r="K365" s="295"/>
      <c r="M365" s="296"/>
      <c r="N365" s="295"/>
      <c r="P365" s="296"/>
      <c r="T365" s="292"/>
    </row>
    <row r="366" ht="12.75" customHeight="1">
      <c r="D366" s="293"/>
      <c r="E366" s="107"/>
      <c r="F366" s="294"/>
      <c r="G366" s="295"/>
      <c r="J366" s="296"/>
      <c r="K366" s="295"/>
      <c r="M366" s="296"/>
      <c r="N366" s="295"/>
      <c r="P366" s="296"/>
      <c r="T366" s="292"/>
    </row>
    <row r="367" ht="12.75" customHeight="1">
      <c r="D367" s="293"/>
      <c r="E367" s="107"/>
      <c r="F367" s="294"/>
      <c r="G367" s="295"/>
      <c r="J367" s="296"/>
      <c r="K367" s="295"/>
      <c r="M367" s="296"/>
      <c r="N367" s="295"/>
      <c r="P367" s="296"/>
      <c r="T367" s="292"/>
    </row>
    <row r="368" ht="12.75" customHeight="1">
      <c r="D368" s="293"/>
      <c r="E368" s="107"/>
      <c r="F368" s="294"/>
      <c r="G368" s="295"/>
      <c r="J368" s="296"/>
      <c r="K368" s="295"/>
      <c r="M368" s="296"/>
      <c r="N368" s="295"/>
      <c r="P368" s="296"/>
      <c r="T368" s="292"/>
    </row>
    <row r="369" ht="12.75" customHeight="1">
      <c r="D369" s="293"/>
      <c r="E369" s="107"/>
      <c r="F369" s="294"/>
      <c r="G369" s="295"/>
      <c r="J369" s="296"/>
      <c r="K369" s="295"/>
      <c r="M369" s="296"/>
      <c r="N369" s="295"/>
      <c r="P369" s="296"/>
      <c r="T369" s="292"/>
    </row>
    <row r="370" ht="12.75" customHeight="1">
      <c r="D370" s="293"/>
      <c r="E370" s="107"/>
      <c r="F370" s="294"/>
      <c r="G370" s="295"/>
      <c r="J370" s="296"/>
      <c r="K370" s="295"/>
      <c r="M370" s="296"/>
      <c r="N370" s="295"/>
      <c r="P370" s="296"/>
      <c r="T370" s="292"/>
    </row>
    <row r="371" ht="12.75" customHeight="1">
      <c r="D371" s="293"/>
      <c r="E371" s="107"/>
      <c r="F371" s="294"/>
      <c r="G371" s="295"/>
      <c r="J371" s="296"/>
      <c r="K371" s="295"/>
      <c r="M371" s="296"/>
      <c r="N371" s="295"/>
      <c r="P371" s="296"/>
      <c r="T371" s="292"/>
    </row>
    <row r="372" ht="12.75" customHeight="1">
      <c r="D372" s="293"/>
      <c r="E372" s="107"/>
      <c r="F372" s="294"/>
      <c r="G372" s="295"/>
      <c r="J372" s="296"/>
      <c r="K372" s="295"/>
      <c r="M372" s="296"/>
      <c r="N372" s="295"/>
      <c r="P372" s="296"/>
      <c r="T372" s="292"/>
    </row>
    <row r="373" ht="12.75" customHeight="1">
      <c r="D373" s="293"/>
      <c r="E373" s="107"/>
      <c r="F373" s="294"/>
      <c r="G373" s="295"/>
      <c r="J373" s="296"/>
      <c r="K373" s="295"/>
      <c r="M373" s="296"/>
      <c r="N373" s="295"/>
      <c r="P373" s="296"/>
      <c r="T373" s="292"/>
    </row>
    <row r="374" ht="12.75" customHeight="1">
      <c r="D374" s="293"/>
      <c r="E374" s="107"/>
      <c r="F374" s="294"/>
      <c r="G374" s="295"/>
      <c r="J374" s="296"/>
      <c r="K374" s="295"/>
      <c r="M374" s="296"/>
      <c r="N374" s="295"/>
      <c r="P374" s="296"/>
      <c r="T374" s="292"/>
    </row>
    <row r="375" ht="12.75" customHeight="1">
      <c r="D375" s="293"/>
      <c r="E375" s="107"/>
      <c r="F375" s="294"/>
      <c r="G375" s="295"/>
      <c r="J375" s="296"/>
      <c r="K375" s="295"/>
      <c r="M375" s="296"/>
      <c r="N375" s="295"/>
      <c r="P375" s="296"/>
      <c r="T375" s="292"/>
    </row>
    <row r="376" ht="12.75" customHeight="1">
      <c r="D376" s="293"/>
      <c r="E376" s="107"/>
      <c r="F376" s="294"/>
      <c r="G376" s="295"/>
      <c r="J376" s="296"/>
      <c r="K376" s="295"/>
      <c r="M376" s="296"/>
      <c r="N376" s="295"/>
      <c r="P376" s="296"/>
      <c r="T376" s="292"/>
    </row>
    <row r="377" ht="12.75" customHeight="1">
      <c r="D377" s="293"/>
      <c r="E377" s="107"/>
      <c r="F377" s="294"/>
      <c r="G377" s="295"/>
      <c r="J377" s="296"/>
      <c r="K377" s="295"/>
      <c r="M377" s="296"/>
      <c r="N377" s="295"/>
      <c r="P377" s="296"/>
      <c r="T377" s="292"/>
    </row>
    <row r="378" ht="12.75" customHeight="1">
      <c r="D378" s="293"/>
      <c r="E378" s="107"/>
      <c r="F378" s="294"/>
      <c r="G378" s="295"/>
      <c r="J378" s="296"/>
      <c r="K378" s="295"/>
      <c r="M378" s="296"/>
      <c r="N378" s="295"/>
      <c r="P378" s="296"/>
      <c r="T378" s="292"/>
    </row>
    <row r="379" ht="12.75" customHeight="1">
      <c r="D379" s="293"/>
      <c r="E379" s="107"/>
      <c r="F379" s="294"/>
      <c r="G379" s="295"/>
      <c r="J379" s="296"/>
      <c r="K379" s="295"/>
      <c r="M379" s="296"/>
      <c r="N379" s="295"/>
      <c r="P379" s="296"/>
      <c r="T379" s="292"/>
    </row>
    <row r="380" ht="12.75" customHeight="1">
      <c r="D380" s="293"/>
      <c r="E380" s="107"/>
      <c r="F380" s="294"/>
      <c r="G380" s="295"/>
      <c r="J380" s="296"/>
      <c r="K380" s="295"/>
      <c r="M380" s="296"/>
      <c r="N380" s="295"/>
      <c r="P380" s="296"/>
      <c r="T380" s="292"/>
    </row>
    <row r="381" ht="12.75" customHeight="1">
      <c r="D381" s="293"/>
      <c r="E381" s="107"/>
      <c r="F381" s="294"/>
      <c r="G381" s="295"/>
      <c r="J381" s="296"/>
      <c r="K381" s="295"/>
      <c r="M381" s="296"/>
      <c r="N381" s="295"/>
      <c r="P381" s="296"/>
      <c r="T381" s="292"/>
    </row>
    <row r="382" ht="12.75" customHeight="1">
      <c r="D382" s="293"/>
      <c r="E382" s="107"/>
      <c r="F382" s="294"/>
      <c r="G382" s="295"/>
      <c r="J382" s="296"/>
      <c r="K382" s="295"/>
      <c r="M382" s="296"/>
      <c r="N382" s="295"/>
      <c r="P382" s="296"/>
      <c r="T382" s="292"/>
    </row>
    <row r="383" ht="12.75" customHeight="1">
      <c r="D383" s="293"/>
      <c r="E383" s="107"/>
      <c r="F383" s="294"/>
      <c r="G383" s="295"/>
      <c r="J383" s="296"/>
      <c r="K383" s="295"/>
      <c r="M383" s="296"/>
      <c r="N383" s="295"/>
      <c r="P383" s="296"/>
      <c r="T383" s="292"/>
    </row>
    <row r="384" ht="12.75" customHeight="1">
      <c r="D384" s="293"/>
      <c r="E384" s="107"/>
      <c r="F384" s="294"/>
      <c r="G384" s="295"/>
      <c r="J384" s="296"/>
      <c r="K384" s="295"/>
      <c r="M384" s="296"/>
      <c r="N384" s="295"/>
      <c r="P384" s="296"/>
      <c r="T384" s="292"/>
    </row>
    <row r="385" ht="12.75" customHeight="1">
      <c r="D385" s="293"/>
      <c r="E385" s="107"/>
      <c r="F385" s="294"/>
      <c r="G385" s="295"/>
      <c r="J385" s="296"/>
      <c r="K385" s="295"/>
      <c r="M385" s="296"/>
      <c r="N385" s="295"/>
      <c r="P385" s="296"/>
      <c r="T385" s="292"/>
    </row>
    <row r="386" ht="12.75" customHeight="1">
      <c r="D386" s="293"/>
      <c r="E386" s="107"/>
      <c r="F386" s="294"/>
      <c r="G386" s="295"/>
      <c r="J386" s="296"/>
      <c r="K386" s="295"/>
      <c r="M386" s="296"/>
      <c r="N386" s="295"/>
      <c r="P386" s="296"/>
      <c r="T386" s="292"/>
    </row>
    <row r="387" ht="12.75" customHeight="1">
      <c r="D387" s="293"/>
      <c r="E387" s="107"/>
      <c r="F387" s="294"/>
      <c r="G387" s="295"/>
      <c r="J387" s="296"/>
      <c r="K387" s="295"/>
      <c r="M387" s="296"/>
      <c r="N387" s="295"/>
      <c r="P387" s="296"/>
      <c r="T387" s="292"/>
    </row>
    <row r="388" ht="12.75" customHeight="1">
      <c r="D388" s="293"/>
      <c r="E388" s="107"/>
      <c r="F388" s="294"/>
      <c r="G388" s="295"/>
      <c r="J388" s="296"/>
      <c r="K388" s="295"/>
      <c r="M388" s="296"/>
      <c r="N388" s="295"/>
      <c r="P388" s="296"/>
      <c r="T388" s="292"/>
    </row>
    <row r="389" ht="12.75" customHeight="1">
      <c r="D389" s="293"/>
      <c r="E389" s="107"/>
      <c r="F389" s="294"/>
      <c r="G389" s="295"/>
      <c r="J389" s="296"/>
      <c r="K389" s="295"/>
      <c r="M389" s="296"/>
      <c r="N389" s="295"/>
      <c r="P389" s="296"/>
      <c r="T389" s="292"/>
    </row>
    <row r="390" ht="12.75" customHeight="1">
      <c r="D390" s="293"/>
      <c r="E390" s="107"/>
      <c r="F390" s="294"/>
      <c r="G390" s="295"/>
      <c r="J390" s="296"/>
      <c r="K390" s="295"/>
      <c r="M390" s="296"/>
      <c r="N390" s="295"/>
      <c r="P390" s="296"/>
      <c r="T390" s="292"/>
    </row>
    <row r="391" ht="12.75" customHeight="1">
      <c r="D391" s="293"/>
      <c r="E391" s="107"/>
      <c r="F391" s="294"/>
      <c r="G391" s="295"/>
      <c r="J391" s="296"/>
      <c r="K391" s="295"/>
      <c r="M391" s="296"/>
      <c r="N391" s="295"/>
      <c r="P391" s="296"/>
      <c r="T391" s="292"/>
    </row>
    <row r="392" ht="12.75" customHeight="1">
      <c r="D392" s="293"/>
      <c r="E392" s="107"/>
      <c r="F392" s="294"/>
      <c r="G392" s="295"/>
      <c r="J392" s="296"/>
      <c r="K392" s="295"/>
      <c r="M392" s="296"/>
      <c r="N392" s="295"/>
      <c r="P392" s="296"/>
      <c r="T392" s="292"/>
    </row>
    <row r="393" ht="12.75" customHeight="1">
      <c r="D393" s="293"/>
      <c r="E393" s="107"/>
      <c r="F393" s="294"/>
      <c r="G393" s="295"/>
      <c r="J393" s="296"/>
      <c r="K393" s="295"/>
      <c r="M393" s="296"/>
      <c r="N393" s="295"/>
      <c r="P393" s="296"/>
      <c r="T393" s="292"/>
    </row>
    <row r="394" ht="12.75" customHeight="1">
      <c r="D394" s="293"/>
      <c r="E394" s="107"/>
      <c r="F394" s="294"/>
      <c r="G394" s="295"/>
      <c r="J394" s="296"/>
      <c r="K394" s="295"/>
      <c r="M394" s="296"/>
      <c r="N394" s="295"/>
      <c r="P394" s="296"/>
      <c r="T394" s="292"/>
    </row>
    <row r="395" ht="12.75" customHeight="1">
      <c r="D395" s="293"/>
      <c r="E395" s="107"/>
      <c r="F395" s="294"/>
      <c r="G395" s="295"/>
      <c r="J395" s="296"/>
      <c r="K395" s="295"/>
      <c r="M395" s="296"/>
      <c r="N395" s="295"/>
      <c r="P395" s="296"/>
      <c r="T395" s="292"/>
    </row>
    <row r="396" ht="12.75" customHeight="1">
      <c r="D396" s="293"/>
      <c r="E396" s="107"/>
      <c r="F396" s="294"/>
      <c r="G396" s="295"/>
      <c r="J396" s="296"/>
      <c r="K396" s="295"/>
      <c r="M396" s="296"/>
      <c r="N396" s="295"/>
      <c r="P396" s="296"/>
      <c r="T396" s="292"/>
    </row>
    <row r="397" ht="12.75" customHeight="1">
      <c r="D397" s="293"/>
      <c r="E397" s="107"/>
      <c r="F397" s="294"/>
      <c r="G397" s="295"/>
      <c r="J397" s="296"/>
      <c r="K397" s="295"/>
      <c r="M397" s="296"/>
      <c r="N397" s="295"/>
      <c r="P397" s="296"/>
      <c r="T397" s="292"/>
    </row>
    <row r="398" ht="12.75" customHeight="1">
      <c r="D398" s="293"/>
      <c r="E398" s="107"/>
      <c r="F398" s="294"/>
      <c r="G398" s="295"/>
      <c r="J398" s="296"/>
      <c r="K398" s="295"/>
      <c r="M398" s="296"/>
      <c r="N398" s="295"/>
      <c r="P398" s="296"/>
      <c r="T398" s="292"/>
    </row>
    <row r="399" ht="12.75" customHeight="1">
      <c r="D399" s="293"/>
      <c r="E399" s="107"/>
      <c r="F399" s="294"/>
      <c r="G399" s="295"/>
      <c r="J399" s="296"/>
      <c r="K399" s="295"/>
      <c r="M399" s="296"/>
      <c r="N399" s="295"/>
      <c r="P399" s="296"/>
      <c r="T399" s="292"/>
    </row>
    <row r="400" ht="12.75" customHeight="1">
      <c r="D400" s="293"/>
      <c r="E400" s="107"/>
      <c r="F400" s="294"/>
      <c r="G400" s="295"/>
      <c r="J400" s="296"/>
      <c r="K400" s="295"/>
      <c r="M400" s="296"/>
      <c r="N400" s="295"/>
      <c r="P400" s="296"/>
      <c r="T400" s="292"/>
    </row>
    <row r="401" ht="12.75" customHeight="1">
      <c r="D401" s="293"/>
      <c r="E401" s="107"/>
      <c r="F401" s="294"/>
      <c r="G401" s="295"/>
      <c r="J401" s="296"/>
      <c r="K401" s="295"/>
      <c r="M401" s="296"/>
      <c r="N401" s="295"/>
      <c r="P401" s="296"/>
      <c r="T401" s="292"/>
    </row>
    <row r="402" ht="12.75" customHeight="1">
      <c r="D402" s="293"/>
      <c r="E402" s="107"/>
      <c r="F402" s="294"/>
      <c r="G402" s="295"/>
      <c r="J402" s="296"/>
      <c r="K402" s="295"/>
      <c r="M402" s="296"/>
      <c r="N402" s="295"/>
      <c r="P402" s="296"/>
      <c r="T402" s="292"/>
    </row>
    <row r="403" ht="12.75" customHeight="1">
      <c r="D403" s="293"/>
      <c r="E403" s="107"/>
      <c r="F403" s="294"/>
      <c r="G403" s="295"/>
      <c r="J403" s="296"/>
      <c r="K403" s="295"/>
      <c r="M403" s="296"/>
      <c r="N403" s="295"/>
      <c r="P403" s="296"/>
      <c r="T403" s="292"/>
    </row>
    <row r="404" ht="12.75" customHeight="1">
      <c r="D404" s="293"/>
      <c r="E404" s="107"/>
      <c r="F404" s="294"/>
      <c r="G404" s="295"/>
      <c r="J404" s="296"/>
      <c r="K404" s="295"/>
      <c r="M404" s="296"/>
      <c r="N404" s="295"/>
      <c r="P404" s="296"/>
      <c r="T404" s="292"/>
    </row>
    <row r="405" ht="12.75" customHeight="1">
      <c r="D405" s="293"/>
      <c r="E405" s="107"/>
      <c r="F405" s="294"/>
      <c r="G405" s="295"/>
      <c r="J405" s="296"/>
      <c r="K405" s="295"/>
      <c r="M405" s="296"/>
      <c r="N405" s="295"/>
      <c r="P405" s="296"/>
      <c r="T405" s="292"/>
    </row>
    <row r="406" ht="12.75" customHeight="1">
      <c r="D406" s="293"/>
      <c r="E406" s="107"/>
      <c r="F406" s="294"/>
      <c r="G406" s="295"/>
      <c r="J406" s="296"/>
      <c r="K406" s="295"/>
      <c r="M406" s="296"/>
      <c r="N406" s="295"/>
      <c r="P406" s="296"/>
      <c r="T406" s="292"/>
    </row>
    <row r="407" ht="12.75" customHeight="1">
      <c r="D407" s="293"/>
      <c r="E407" s="107"/>
      <c r="F407" s="294"/>
      <c r="G407" s="295"/>
      <c r="J407" s="296"/>
      <c r="K407" s="295"/>
      <c r="M407" s="296"/>
      <c r="N407" s="295"/>
      <c r="P407" s="296"/>
      <c r="T407" s="292"/>
    </row>
    <row r="408" ht="12.75" customHeight="1">
      <c r="D408" s="293"/>
      <c r="E408" s="107"/>
      <c r="F408" s="294"/>
      <c r="G408" s="295"/>
      <c r="J408" s="296"/>
      <c r="K408" s="295"/>
      <c r="M408" s="296"/>
      <c r="N408" s="295"/>
      <c r="P408" s="296"/>
      <c r="T408" s="292"/>
    </row>
    <row r="409" ht="12.75" customHeight="1">
      <c r="D409" s="293"/>
      <c r="E409" s="107"/>
      <c r="F409" s="294"/>
      <c r="G409" s="295"/>
      <c r="J409" s="296"/>
      <c r="K409" s="295"/>
      <c r="M409" s="296"/>
      <c r="N409" s="295"/>
      <c r="P409" s="296"/>
      <c r="T409" s="292"/>
    </row>
    <row r="410" ht="12.75" customHeight="1">
      <c r="D410" s="293"/>
      <c r="E410" s="107"/>
      <c r="F410" s="294"/>
      <c r="G410" s="295"/>
      <c r="J410" s="296"/>
      <c r="K410" s="295"/>
      <c r="M410" s="296"/>
      <c r="N410" s="295"/>
      <c r="P410" s="296"/>
      <c r="T410" s="292"/>
    </row>
    <row r="411" ht="12.75" customHeight="1">
      <c r="D411" s="293"/>
      <c r="E411" s="107"/>
      <c r="F411" s="294"/>
      <c r="G411" s="295"/>
      <c r="J411" s="296"/>
      <c r="K411" s="295"/>
      <c r="M411" s="296"/>
      <c r="N411" s="295"/>
      <c r="P411" s="296"/>
      <c r="T411" s="292"/>
    </row>
    <row r="412" ht="12.75" customHeight="1">
      <c r="D412" s="293"/>
      <c r="E412" s="107"/>
      <c r="F412" s="294"/>
      <c r="G412" s="295"/>
      <c r="J412" s="296"/>
      <c r="K412" s="295"/>
      <c r="M412" s="296"/>
      <c r="N412" s="295"/>
      <c r="P412" s="296"/>
      <c r="T412" s="292"/>
    </row>
    <row r="413" ht="12.75" customHeight="1">
      <c r="D413" s="293"/>
      <c r="E413" s="107"/>
      <c r="F413" s="294"/>
      <c r="G413" s="295"/>
      <c r="J413" s="296"/>
      <c r="K413" s="295"/>
      <c r="M413" s="296"/>
      <c r="N413" s="295"/>
      <c r="P413" s="296"/>
      <c r="T413" s="292"/>
    </row>
    <row r="414" ht="12.75" customHeight="1">
      <c r="D414" s="293"/>
      <c r="E414" s="107"/>
      <c r="F414" s="294"/>
      <c r="G414" s="295"/>
      <c r="J414" s="296"/>
      <c r="K414" s="295"/>
      <c r="M414" s="296"/>
      <c r="N414" s="295"/>
      <c r="P414" s="296"/>
      <c r="T414" s="292"/>
    </row>
    <row r="415" ht="12.75" customHeight="1">
      <c r="D415" s="293"/>
      <c r="E415" s="107"/>
      <c r="F415" s="294"/>
      <c r="G415" s="295"/>
      <c r="J415" s="296"/>
      <c r="K415" s="295"/>
      <c r="M415" s="296"/>
      <c r="N415" s="295"/>
      <c r="P415" s="296"/>
      <c r="T415" s="292"/>
    </row>
    <row r="416" ht="12.75" customHeight="1">
      <c r="D416" s="293"/>
      <c r="E416" s="107"/>
      <c r="F416" s="294"/>
      <c r="G416" s="295"/>
      <c r="J416" s="296"/>
      <c r="K416" s="295"/>
      <c r="M416" s="296"/>
      <c r="N416" s="295"/>
      <c r="P416" s="296"/>
      <c r="T416" s="292"/>
    </row>
    <row r="417" ht="12.75" customHeight="1">
      <c r="D417" s="293"/>
      <c r="E417" s="107"/>
      <c r="F417" s="294"/>
      <c r="G417" s="295"/>
      <c r="J417" s="296"/>
      <c r="K417" s="295"/>
      <c r="M417" s="296"/>
      <c r="N417" s="295"/>
      <c r="P417" s="296"/>
      <c r="T417" s="292"/>
    </row>
    <row r="418" ht="12.75" customHeight="1">
      <c r="D418" s="293"/>
      <c r="E418" s="107"/>
      <c r="F418" s="294"/>
      <c r="G418" s="295"/>
      <c r="J418" s="296"/>
      <c r="K418" s="295"/>
      <c r="M418" s="296"/>
      <c r="N418" s="295"/>
      <c r="P418" s="296"/>
      <c r="T418" s="292"/>
    </row>
    <row r="419" ht="12.75" customHeight="1">
      <c r="D419" s="293"/>
      <c r="E419" s="107"/>
      <c r="F419" s="294"/>
      <c r="G419" s="295"/>
      <c r="J419" s="296"/>
      <c r="K419" s="295"/>
      <c r="M419" s="296"/>
      <c r="N419" s="295"/>
      <c r="P419" s="296"/>
      <c r="T419" s="292"/>
    </row>
    <row r="420" ht="12.75" customHeight="1">
      <c r="D420" s="293"/>
      <c r="E420" s="107"/>
      <c r="F420" s="294"/>
      <c r="G420" s="295"/>
      <c r="J420" s="296"/>
      <c r="K420" s="295"/>
      <c r="M420" s="296"/>
      <c r="N420" s="295"/>
      <c r="P420" s="296"/>
      <c r="T420" s="292"/>
    </row>
    <row r="421" ht="12.75" customHeight="1">
      <c r="D421" s="293"/>
      <c r="E421" s="107"/>
      <c r="F421" s="294"/>
      <c r="G421" s="295"/>
      <c r="J421" s="296"/>
      <c r="K421" s="295"/>
      <c r="M421" s="296"/>
      <c r="N421" s="295"/>
      <c r="P421" s="296"/>
      <c r="T421" s="292"/>
    </row>
    <row r="422" ht="12.75" customHeight="1">
      <c r="D422" s="293"/>
      <c r="E422" s="107"/>
      <c r="F422" s="294"/>
      <c r="G422" s="295"/>
      <c r="J422" s="296"/>
      <c r="K422" s="295"/>
      <c r="M422" s="296"/>
      <c r="N422" s="295"/>
      <c r="P422" s="296"/>
      <c r="T422" s="292"/>
    </row>
    <row r="423" ht="12.75" customHeight="1">
      <c r="D423" s="293"/>
      <c r="E423" s="107"/>
      <c r="F423" s="294"/>
      <c r="G423" s="295"/>
      <c r="J423" s="296"/>
      <c r="K423" s="295"/>
      <c r="M423" s="296"/>
      <c r="N423" s="295"/>
      <c r="P423" s="296"/>
      <c r="T423" s="292"/>
    </row>
    <row r="424" ht="12.75" customHeight="1">
      <c r="D424" s="293"/>
      <c r="E424" s="107"/>
      <c r="F424" s="294"/>
      <c r="G424" s="295"/>
      <c r="J424" s="296"/>
      <c r="K424" s="295"/>
      <c r="M424" s="296"/>
      <c r="N424" s="295"/>
      <c r="P424" s="296"/>
      <c r="T424" s="292"/>
    </row>
    <row r="425" ht="12.75" customHeight="1">
      <c r="D425" s="293"/>
      <c r="E425" s="107"/>
      <c r="F425" s="294"/>
      <c r="G425" s="295"/>
      <c r="J425" s="296"/>
      <c r="K425" s="295"/>
      <c r="M425" s="296"/>
      <c r="N425" s="295"/>
      <c r="P425" s="296"/>
      <c r="T425" s="292"/>
    </row>
    <row r="426" ht="12.75" customHeight="1">
      <c r="D426" s="293"/>
      <c r="E426" s="107"/>
      <c r="F426" s="294"/>
      <c r="G426" s="295"/>
      <c r="J426" s="296"/>
      <c r="K426" s="295"/>
      <c r="M426" s="296"/>
      <c r="N426" s="295"/>
      <c r="P426" s="296"/>
      <c r="T426" s="292"/>
    </row>
    <row r="427" ht="12.75" customHeight="1">
      <c r="D427" s="293"/>
      <c r="E427" s="107"/>
      <c r="F427" s="294"/>
      <c r="G427" s="295"/>
      <c r="J427" s="296"/>
      <c r="K427" s="295"/>
      <c r="M427" s="296"/>
      <c r="N427" s="295"/>
      <c r="P427" s="296"/>
      <c r="T427" s="292"/>
    </row>
    <row r="428" ht="12.75" customHeight="1">
      <c r="D428" s="293"/>
      <c r="E428" s="107"/>
      <c r="F428" s="294"/>
      <c r="G428" s="295"/>
      <c r="J428" s="296"/>
      <c r="K428" s="295"/>
      <c r="M428" s="296"/>
      <c r="N428" s="295"/>
      <c r="P428" s="296"/>
      <c r="T428" s="292"/>
    </row>
    <row r="429" ht="12.75" customHeight="1">
      <c r="D429" s="293"/>
      <c r="E429" s="107"/>
      <c r="F429" s="294"/>
      <c r="G429" s="295"/>
      <c r="J429" s="296"/>
      <c r="K429" s="295"/>
      <c r="M429" s="296"/>
      <c r="N429" s="295"/>
      <c r="P429" s="296"/>
      <c r="T429" s="292"/>
    </row>
    <row r="430" ht="12.75" customHeight="1">
      <c r="D430" s="293"/>
      <c r="E430" s="107"/>
      <c r="F430" s="294"/>
      <c r="G430" s="295"/>
      <c r="J430" s="296"/>
      <c r="K430" s="295"/>
      <c r="M430" s="296"/>
      <c r="N430" s="295"/>
      <c r="P430" s="296"/>
      <c r="T430" s="292"/>
    </row>
    <row r="431" ht="12.75" customHeight="1">
      <c r="D431" s="293"/>
      <c r="E431" s="107"/>
      <c r="F431" s="294"/>
      <c r="G431" s="295"/>
      <c r="J431" s="296"/>
      <c r="K431" s="295"/>
      <c r="M431" s="296"/>
      <c r="N431" s="295"/>
      <c r="P431" s="296"/>
      <c r="T431" s="292"/>
    </row>
    <row r="432" ht="12.75" customHeight="1">
      <c r="D432" s="293"/>
      <c r="E432" s="107"/>
      <c r="F432" s="294"/>
      <c r="G432" s="295"/>
      <c r="J432" s="296"/>
      <c r="K432" s="295"/>
      <c r="M432" s="296"/>
      <c r="N432" s="295"/>
      <c r="P432" s="296"/>
      <c r="T432" s="292"/>
    </row>
    <row r="433" ht="12.75" customHeight="1">
      <c r="D433" s="293"/>
      <c r="E433" s="107"/>
      <c r="F433" s="294"/>
      <c r="G433" s="295"/>
      <c r="J433" s="296"/>
      <c r="K433" s="295"/>
      <c r="M433" s="296"/>
      <c r="N433" s="295"/>
      <c r="P433" s="296"/>
      <c r="T433" s="292"/>
    </row>
    <row r="434" ht="12.75" customHeight="1">
      <c r="D434" s="293"/>
      <c r="E434" s="107"/>
      <c r="F434" s="294"/>
      <c r="G434" s="295"/>
      <c r="J434" s="296"/>
      <c r="K434" s="295"/>
      <c r="M434" s="296"/>
      <c r="N434" s="295"/>
      <c r="P434" s="296"/>
      <c r="T434" s="292"/>
    </row>
    <row r="435" ht="12.75" customHeight="1">
      <c r="D435" s="293"/>
      <c r="E435" s="107"/>
      <c r="F435" s="294"/>
      <c r="G435" s="295"/>
      <c r="J435" s="296"/>
      <c r="K435" s="295"/>
      <c r="M435" s="296"/>
      <c r="N435" s="295"/>
      <c r="P435" s="296"/>
      <c r="T435" s="292"/>
    </row>
    <row r="436" ht="12.75" customHeight="1">
      <c r="D436" s="293"/>
      <c r="E436" s="107"/>
      <c r="F436" s="294"/>
      <c r="G436" s="295"/>
      <c r="J436" s="296"/>
      <c r="K436" s="295"/>
      <c r="M436" s="296"/>
      <c r="N436" s="295"/>
      <c r="P436" s="296"/>
      <c r="T436" s="292"/>
    </row>
    <row r="437" ht="12.75" customHeight="1">
      <c r="D437" s="293"/>
      <c r="E437" s="107"/>
      <c r="F437" s="294"/>
      <c r="G437" s="295"/>
      <c r="J437" s="296"/>
      <c r="K437" s="295"/>
      <c r="M437" s="296"/>
      <c r="N437" s="295"/>
      <c r="P437" s="296"/>
      <c r="T437" s="292"/>
    </row>
    <row r="438" ht="12.75" customHeight="1">
      <c r="D438" s="293"/>
      <c r="E438" s="107"/>
      <c r="F438" s="294"/>
      <c r="G438" s="295"/>
      <c r="J438" s="296"/>
      <c r="K438" s="295"/>
      <c r="M438" s="296"/>
      <c r="N438" s="295"/>
      <c r="P438" s="296"/>
      <c r="T438" s="292"/>
    </row>
    <row r="439" ht="12.75" customHeight="1">
      <c r="D439" s="293"/>
      <c r="E439" s="107"/>
      <c r="F439" s="294"/>
      <c r="G439" s="295"/>
      <c r="J439" s="296"/>
      <c r="K439" s="295"/>
      <c r="M439" s="296"/>
      <c r="N439" s="295"/>
      <c r="P439" s="296"/>
      <c r="T439" s="292"/>
    </row>
    <row r="440" ht="12.75" customHeight="1">
      <c r="D440" s="293"/>
      <c r="E440" s="107"/>
      <c r="F440" s="294"/>
      <c r="G440" s="295"/>
      <c r="J440" s="296"/>
      <c r="K440" s="295"/>
      <c r="M440" s="296"/>
      <c r="N440" s="295"/>
      <c r="P440" s="296"/>
      <c r="T440" s="292"/>
    </row>
    <row r="441" ht="12.75" customHeight="1">
      <c r="D441" s="293"/>
      <c r="E441" s="107"/>
      <c r="F441" s="294"/>
      <c r="G441" s="295"/>
      <c r="J441" s="296"/>
      <c r="K441" s="295"/>
      <c r="M441" s="296"/>
      <c r="N441" s="295"/>
      <c r="P441" s="296"/>
      <c r="T441" s="292"/>
    </row>
    <row r="442" ht="12.75" customHeight="1">
      <c r="D442" s="293"/>
      <c r="E442" s="107"/>
      <c r="F442" s="294"/>
      <c r="G442" s="295"/>
      <c r="J442" s="296"/>
      <c r="K442" s="295"/>
      <c r="M442" s="296"/>
      <c r="N442" s="295"/>
      <c r="P442" s="296"/>
      <c r="T442" s="292"/>
    </row>
    <row r="443" ht="12.75" customHeight="1">
      <c r="D443" s="293"/>
      <c r="E443" s="107"/>
      <c r="F443" s="294"/>
      <c r="G443" s="295"/>
      <c r="J443" s="296"/>
      <c r="K443" s="295"/>
      <c r="M443" s="296"/>
      <c r="N443" s="295"/>
      <c r="P443" s="296"/>
      <c r="T443" s="292"/>
    </row>
    <row r="444" ht="12.75" customHeight="1">
      <c r="D444" s="293"/>
      <c r="E444" s="107"/>
      <c r="F444" s="294"/>
      <c r="G444" s="295"/>
      <c r="J444" s="296"/>
      <c r="K444" s="295"/>
      <c r="M444" s="296"/>
      <c r="N444" s="295"/>
      <c r="P444" s="296"/>
      <c r="T444" s="292"/>
    </row>
    <row r="445" ht="12.75" customHeight="1">
      <c r="D445" s="293"/>
      <c r="E445" s="107"/>
      <c r="F445" s="294"/>
      <c r="G445" s="295"/>
      <c r="J445" s="296"/>
      <c r="K445" s="295"/>
      <c r="M445" s="296"/>
      <c r="N445" s="295"/>
      <c r="P445" s="296"/>
      <c r="T445" s="292"/>
    </row>
    <row r="446" ht="12.75" customHeight="1">
      <c r="D446" s="293"/>
      <c r="E446" s="107"/>
      <c r="F446" s="294"/>
      <c r="G446" s="295"/>
      <c r="J446" s="296"/>
      <c r="K446" s="295"/>
      <c r="M446" s="296"/>
      <c r="N446" s="295"/>
      <c r="P446" s="296"/>
      <c r="T446" s="292"/>
    </row>
    <row r="447" ht="12.75" customHeight="1">
      <c r="D447" s="293"/>
      <c r="E447" s="107"/>
      <c r="F447" s="294"/>
      <c r="G447" s="295"/>
      <c r="J447" s="296"/>
      <c r="K447" s="295"/>
      <c r="M447" s="296"/>
      <c r="N447" s="295"/>
      <c r="P447" s="296"/>
      <c r="T447" s="292"/>
    </row>
    <row r="448" ht="12.75" customHeight="1">
      <c r="D448" s="293"/>
      <c r="E448" s="107"/>
      <c r="F448" s="294"/>
      <c r="G448" s="295"/>
      <c r="J448" s="296"/>
      <c r="K448" s="295"/>
      <c r="M448" s="296"/>
      <c r="N448" s="295"/>
      <c r="P448" s="296"/>
      <c r="T448" s="292"/>
    </row>
    <row r="449" ht="12.75" customHeight="1">
      <c r="D449" s="293"/>
      <c r="E449" s="107"/>
      <c r="F449" s="294"/>
      <c r="G449" s="295"/>
      <c r="J449" s="296"/>
      <c r="K449" s="295"/>
      <c r="M449" s="296"/>
      <c r="N449" s="295"/>
      <c r="P449" s="296"/>
      <c r="T449" s="292"/>
    </row>
    <row r="450" ht="12.75" customHeight="1">
      <c r="D450" s="293"/>
      <c r="E450" s="107"/>
      <c r="F450" s="294"/>
      <c r="G450" s="295"/>
      <c r="J450" s="296"/>
      <c r="K450" s="295"/>
      <c r="M450" s="296"/>
      <c r="N450" s="295"/>
      <c r="P450" s="296"/>
      <c r="T450" s="292"/>
    </row>
    <row r="451" ht="12.75" customHeight="1">
      <c r="D451" s="293"/>
      <c r="E451" s="107"/>
      <c r="F451" s="294"/>
      <c r="G451" s="295"/>
      <c r="J451" s="296"/>
      <c r="K451" s="295"/>
      <c r="M451" s="296"/>
      <c r="N451" s="295"/>
      <c r="P451" s="296"/>
      <c r="T451" s="292"/>
    </row>
    <row r="452" ht="12.75" customHeight="1">
      <c r="D452" s="293"/>
      <c r="E452" s="107"/>
      <c r="F452" s="294"/>
      <c r="G452" s="295"/>
      <c r="J452" s="296"/>
      <c r="K452" s="295"/>
      <c r="M452" s="296"/>
      <c r="N452" s="295"/>
      <c r="P452" s="296"/>
      <c r="T452" s="292"/>
    </row>
    <row r="453" ht="12.75" customHeight="1">
      <c r="D453" s="293"/>
      <c r="E453" s="107"/>
      <c r="F453" s="294"/>
      <c r="G453" s="295"/>
      <c r="J453" s="296"/>
      <c r="K453" s="295"/>
      <c r="M453" s="296"/>
      <c r="N453" s="295"/>
      <c r="P453" s="296"/>
      <c r="T453" s="292"/>
    </row>
    <row r="454" ht="12.75" customHeight="1">
      <c r="D454" s="293"/>
      <c r="E454" s="107"/>
      <c r="F454" s="294"/>
      <c r="G454" s="295"/>
      <c r="J454" s="296"/>
      <c r="K454" s="295"/>
      <c r="M454" s="296"/>
      <c r="N454" s="295"/>
      <c r="P454" s="296"/>
      <c r="T454" s="292"/>
    </row>
    <row r="455" ht="12.75" customHeight="1">
      <c r="D455" s="293"/>
      <c r="E455" s="107"/>
      <c r="F455" s="294"/>
      <c r="G455" s="295"/>
      <c r="J455" s="296"/>
      <c r="K455" s="295"/>
      <c r="M455" s="296"/>
      <c r="N455" s="295"/>
      <c r="P455" s="296"/>
      <c r="T455" s="292"/>
    </row>
    <row r="456" ht="12.75" customHeight="1">
      <c r="D456" s="293"/>
      <c r="E456" s="107"/>
      <c r="F456" s="294"/>
      <c r="G456" s="295"/>
      <c r="J456" s="296"/>
      <c r="K456" s="295"/>
      <c r="M456" s="296"/>
      <c r="N456" s="295"/>
      <c r="P456" s="296"/>
      <c r="T456" s="292"/>
    </row>
    <row r="457" ht="12.75" customHeight="1">
      <c r="D457" s="293"/>
      <c r="E457" s="107"/>
      <c r="F457" s="294"/>
      <c r="G457" s="295"/>
      <c r="J457" s="296"/>
      <c r="K457" s="295"/>
      <c r="M457" s="296"/>
      <c r="N457" s="295"/>
      <c r="P457" s="296"/>
      <c r="T457" s="292"/>
    </row>
    <row r="458" ht="12.75" customHeight="1">
      <c r="D458" s="293"/>
      <c r="E458" s="107"/>
      <c r="F458" s="294"/>
      <c r="G458" s="295"/>
      <c r="J458" s="296"/>
      <c r="K458" s="295"/>
      <c r="M458" s="296"/>
      <c r="N458" s="295"/>
      <c r="P458" s="296"/>
      <c r="T458" s="292"/>
    </row>
    <row r="459" ht="12.75" customHeight="1">
      <c r="D459" s="293"/>
      <c r="E459" s="107"/>
      <c r="F459" s="294"/>
      <c r="G459" s="295"/>
      <c r="J459" s="296"/>
      <c r="K459" s="295"/>
      <c r="M459" s="296"/>
      <c r="N459" s="295"/>
      <c r="P459" s="296"/>
      <c r="T459" s="292"/>
    </row>
    <row r="460" ht="12.75" customHeight="1">
      <c r="D460" s="293"/>
      <c r="E460" s="107"/>
      <c r="F460" s="294"/>
      <c r="G460" s="295"/>
      <c r="J460" s="296"/>
      <c r="K460" s="295"/>
      <c r="M460" s="296"/>
      <c r="N460" s="295"/>
      <c r="P460" s="296"/>
      <c r="T460" s="292"/>
    </row>
    <row r="461" ht="12.75" customHeight="1">
      <c r="D461" s="293"/>
      <c r="E461" s="107"/>
      <c r="F461" s="294"/>
      <c r="G461" s="295"/>
      <c r="J461" s="296"/>
      <c r="K461" s="295"/>
      <c r="M461" s="296"/>
      <c r="N461" s="295"/>
      <c r="P461" s="296"/>
      <c r="T461" s="292"/>
    </row>
    <row r="462" ht="12.75" customHeight="1">
      <c r="D462" s="293"/>
      <c r="E462" s="107"/>
      <c r="F462" s="294"/>
      <c r="G462" s="295"/>
      <c r="J462" s="296"/>
      <c r="K462" s="295"/>
      <c r="M462" s="296"/>
      <c r="N462" s="295"/>
      <c r="P462" s="296"/>
      <c r="T462" s="292"/>
    </row>
    <row r="463" ht="12.75" customHeight="1">
      <c r="D463" s="293"/>
      <c r="E463" s="107"/>
      <c r="F463" s="294"/>
      <c r="G463" s="295"/>
      <c r="J463" s="296"/>
      <c r="K463" s="295"/>
      <c r="M463" s="296"/>
      <c r="N463" s="295"/>
      <c r="P463" s="296"/>
      <c r="T463" s="292"/>
    </row>
    <row r="464" ht="12.75" customHeight="1">
      <c r="D464" s="293"/>
      <c r="E464" s="107"/>
      <c r="F464" s="294"/>
      <c r="G464" s="295"/>
      <c r="J464" s="296"/>
      <c r="K464" s="295"/>
      <c r="M464" s="296"/>
      <c r="N464" s="295"/>
      <c r="P464" s="296"/>
      <c r="T464" s="292"/>
    </row>
    <row r="465" ht="12.75" customHeight="1">
      <c r="D465" s="293"/>
      <c r="E465" s="107"/>
      <c r="F465" s="294"/>
      <c r="G465" s="295"/>
      <c r="J465" s="296"/>
      <c r="K465" s="295"/>
      <c r="M465" s="296"/>
      <c r="N465" s="295"/>
      <c r="P465" s="296"/>
      <c r="T465" s="292"/>
    </row>
    <row r="466" ht="12.75" customHeight="1">
      <c r="D466" s="293"/>
      <c r="E466" s="107"/>
      <c r="F466" s="294"/>
      <c r="G466" s="295"/>
      <c r="J466" s="296"/>
      <c r="K466" s="295"/>
      <c r="M466" s="296"/>
      <c r="N466" s="295"/>
      <c r="P466" s="296"/>
      <c r="T466" s="292"/>
    </row>
    <row r="467" ht="12.75" customHeight="1">
      <c r="D467" s="293"/>
      <c r="E467" s="107"/>
      <c r="F467" s="294"/>
      <c r="G467" s="295"/>
      <c r="J467" s="296"/>
      <c r="K467" s="295"/>
      <c r="M467" s="296"/>
      <c r="N467" s="295"/>
      <c r="P467" s="296"/>
      <c r="T467" s="292"/>
    </row>
    <row r="468" ht="12.75" customHeight="1">
      <c r="D468" s="293"/>
      <c r="E468" s="107"/>
      <c r="F468" s="294"/>
      <c r="G468" s="295"/>
      <c r="J468" s="296"/>
      <c r="K468" s="295"/>
      <c r="M468" s="296"/>
      <c r="N468" s="295"/>
      <c r="P468" s="296"/>
      <c r="T468" s="292"/>
    </row>
    <row r="469" ht="12.75" customHeight="1">
      <c r="D469" s="293"/>
      <c r="E469" s="107"/>
      <c r="F469" s="294"/>
      <c r="G469" s="295"/>
      <c r="J469" s="296"/>
      <c r="K469" s="295"/>
      <c r="M469" s="296"/>
      <c r="N469" s="295"/>
      <c r="P469" s="296"/>
      <c r="T469" s="292"/>
    </row>
    <row r="470" ht="12.75" customHeight="1">
      <c r="D470" s="293"/>
      <c r="E470" s="107"/>
      <c r="F470" s="294"/>
      <c r="G470" s="295"/>
      <c r="J470" s="296"/>
      <c r="K470" s="295"/>
      <c r="M470" s="296"/>
      <c r="N470" s="295"/>
      <c r="P470" s="296"/>
      <c r="T470" s="292"/>
    </row>
    <row r="471" ht="12.75" customHeight="1">
      <c r="D471" s="293"/>
      <c r="E471" s="107"/>
      <c r="F471" s="294"/>
      <c r="G471" s="295"/>
      <c r="J471" s="296"/>
      <c r="K471" s="295"/>
      <c r="M471" s="296"/>
      <c r="N471" s="295"/>
      <c r="P471" s="296"/>
      <c r="T471" s="292"/>
    </row>
    <row r="472" ht="12.75" customHeight="1">
      <c r="D472" s="293"/>
      <c r="E472" s="107"/>
      <c r="F472" s="294"/>
      <c r="G472" s="295"/>
      <c r="J472" s="296"/>
      <c r="K472" s="295"/>
      <c r="M472" s="296"/>
      <c r="N472" s="295"/>
      <c r="P472" s="296"/>
      <c r="T472" s="292"/>
    </row>
    <row r="473" ht="12.75" customHeight="1">
      <c r="D473" s="293"/>
      <c r="E473" s="107"/>
      <c r="F473" s="294"/>
      <c r="G473" s="295"/>
      <c r="J473" s="296"/>
      <c r="K473" s="295"/>
      <c r="M473" s="296"/>
      <c r="N473" s="295"/>
      <c r="P473" s="296"/>
      <c r="T473" s="292"/>
    </row>
    <row r="474" ht="12.75" customHeight="1">
      <c r="D474" s="293"/>
      <c r="E474" s="107"/>
      <c r="F474" s="294"/>
      <c r="G474" s="295"/>
      <c r="J474" s="296"/>
      <c r="K474" s="295"/>
      <c r="M474" s="296"/>
      <c r="N474" s="295"/>
      <c r="P474" s="296"/>
      <c r="T474" s="292"/>
    </row>
    <row r="475" ht="12.75" customHeight="1">
      <c r="D475" s="293"/>
      <c r="E475" s="107"/>
      <c r="F475" s="294"/>
      <c r="G475" s="295"/>
      <c r="J475" s="296"/>
      <c r="K475" s="295"/>
      <c r="M475" s="296"/>
      <c r="N475" s="295"/>
      <c r="P475" s="296"/>
      <c r="T475" s="292"/>
    </row>
    <row r="476" ht="12.75" customHeight="1">
      <c r="D476" s="293"/>
      <c r="E476" s="107"/>
      <c r="F476" s="294"/>
      <c r="G476" s="295"/>
      <c r="J476" s="296"/>
      <c r="K476" s="295"/>
      <c r="M476" s="296"/>
      <c r="N476" s="295"/>
      <c r="P476" s="296"/>
      <c r="T476" s="292"/>
    </row>
    <row r="477" ht="12.75" customHeight="1">
      <c r="D477" s="293"/>
      <c r="E477" s="107"/>
      <c r="F477" s="294"/>
      <c r="G477" s="295"/>
      <c r="J477" s="296"/>
      <c r="K477" s="295"/>
      <c r="M477" s="296"/>
      <c r="N477" s="295"/>
      <c r="P477" s="296"/>
      <c r="T477" s="292"/>
    </row>
    <row r="478" ht="12.75" customHeight="1">
      <c r="D478" s="293"/>
      <c r="E478" s="107"/>
      <c r="F478" s="294"/>
      <c r="G478" s="295"/>
      <c r="J478" s="296"/>
      <c r="K478" s="295"/>
      <c r="M478" s="296"/>
      <c r="N478" s="295"/>
      <c r="P478" s="296"/>
      <c r="T478" s="292"/>
    </row>
    <row r="479" ht="12.75" customHeight="1">
      <c r="D479" s="293"/>
      <c r="E479" s="107"/>
      <c r="F479" s="294"/>
      <c r="G479" s="295"/>
      <c r="J479" s="296"/>
      <c r="K479" s="295"/>
      <c r="M479" s="296"/>
      <c r="N479" s="295"/>
      <c r="P479" s="296"/>
      <c r="T479" s="292"/>
    </row>
    <row r="480" ht="12.75" customHeight="1">
      <c r="D480" s="293"/>
      <c r="E480" s="107"/>
      <c r="F480" s="294"/>
      <c r="G480" s="295"/>
      <c r="J480" s="296"/>
      <c r="K480" s="295"/>
      <c r="M480" s="296"/>
      <c r="N480" s="295"/>
      <c r="P480" s="296"/>
      <c r="T480" s="292"/>
    </row>
    <row r="481" ht="12.75" customHeight="1">
      <c r="D481" s="293"/>
      <c r="E481" s="107"/>
      <c r="F481" s="294"/>
      <c r="G481" s="295"/>
      <c r="J481" s="296"/>
      <c r="K481" s="295"/>
      <c r="M481" s="296"/>
      <c r="N481" s="295"/>
      <c r="P481" s="296"/>
      <c r="T481" s="292"/>
    </row>
    <row r="482" ht="12.75" customHeight="1">
      <c r="D482" s="293"/>
      <c r="E482" s="107"/>
      <c r="F482" s="294"/>
      <c r="G482" s="295"/>
      <c r="J482" s="296"/>
      <c r="K482" s="295"/>
      <c r="M482" s="296"/>
      <c r="N482" s="295"/>
      <c r="P482" s="296"/>
      <c r="T482" s="292"/>
    </row>
    <row r="483" ht="12.75" customHeight="1">
      <c r="D483" s="293"/>
      <c r="E483" s="107"/>
      <c r="F483" s="294"/>
      <c r="G483" s="295"/>
      <c r="J483" s="296"/>
      <c r="K483" s="295"/>
      <c r="M483" s="296"/>
      <c r="N483" s="295"/>
      <c r="P483" s="296"/>
      <c r="T483" s="292"/>
    </row>
    <row r="484" ht="12.75" customHeight="1">
      <c r="D484" s="293"/>
      <c r="E484" s="107"/>
      <c r="F484" s="294"/>
      <c r="G484" s="295"/>
      <c r="J484" s="296"/>
      <c r="K484" s="295"/>
      <c r="M484" s="296"/>
      <c r="N484" s="295"/>
      <c r="P484" s="296"/>
      <c r="T484" s="292"/>
    </row>
    <row r="485" ht="12.75" customHeight="1">
      <c r="D485" s="293"/>
      <c r="E485" s="107"/>
      <c r="F485" s="294"/>
      <c r="G485" s="295"/>
      <c r="J485" s="296"/>
      <c r="K485" s="295"/>
      <c r="M485" s="296"/>
      <c r="N485" s="295"/>
      <c r="P485" s="296"/>
      <c r="T485" s="292"/>
    </row>
    <row r="486" ht="12.75" customHeight="1">
      <c r="D486" s="293"/>
      <c r="E486" s="107"/>
      <c r="F486" s="294"/>
      <c r="G486" s="295"/>
      <c r="J486" s="296"/>
      <c r="K486" s="295"/>
      <c r="M486" s="296"/>
      <c r="N486" s="295"/>
      <c r="P486" s="296"/>
      <c r="T486" s="292"/>
    </row>
    <row r="487" ht="12.75" customHeight="1">
      <c r="D487" s="293"/>
      <c r="E487" s="107"/>
      <c r="F487" s="294"/>
      <c r="G487" s="295"/>
      <c r="J487" s="296"/>
      <c r="K487" s="295"/>
      <c r="M487" s="296"/>
      <c r="N487" s="295"/>
      <c r="P487" s="296"/>
      <c r="T487" s="292"/>
    </row>
    <row r="488" ht="12.75" customHeight="1">
      <c r="D488" s="293"/>
      <c r="E488" s="107"/>
      <c r="F488" s="294"/>
      <c r="G488" s="295"/>
      <c r="J488" s="296"/>
      <c r="K488" s="295"/>
      <c r="M488" s="296"/>
      <c r="N488" s="295"/>
      <c r="P488" s="296"/>
      <c r="T488" s="292"/>
    </row>
    <row r="489" ht="12.75" customHeight="1">
      <c r="D489" s="293"/>
      <c r="E489" s="107"/>
      <c r="F489" s="294"/>
      <c r="G489" s="295"/>
      <c r="J489" s="296"/>
      <c r="K489" s="295"/>
      <c r="M489" s="296"/>
      <c r="N489" s="295"/>
      <c r="P489" s="296"/>
      <c r="T489" s="292"/>
    </row>
    <row r="490" ht="12.75" customHeight="1">
      <c r="D490" s="293"/>
      <c r="E490" s="107"/>
      <c r="F490" s="294"/>
      <c r="G490" s="295"/>
      <c r="J490" s="296"/>
      <c r="K490" s="295"/>
      <c r="M490" s="296"/>
      <c r="N490" s="295"/>
      <c r="P490" s="296"/>
      <c r="T490" s="292"/>
    </row>
    <row r="491" ht="12.75" customHeight="1">
      <c r="D491" s="293"/>
      <c r="E491" s="107"/>
      <c r="F491" s="294"/>
      <c r="G491" s="295"/>
      <c r="J491" s="296"/>
      <c r="K491" s="295"/>
      <c r="M491" s="296"/>
      <c r="N491" s="295"/>
      <c r="P491" s="296"/>
      <c r="T491" s="292"/>
    </row>
    <row r="492" ht="12.75" customHeight="1">
      <c r="D492" s="293"/>
      <c r="E492" s="107"/>
      <c r="F492" s="294"/>
      <c r="G492" s="295"/>
      <c r="J492" s="296"/>
      <c r="K492" s="295"/>
      <c r="M492" s="296"/>
      <c r="N492" s="295"/>
      <c r="P492" s="296"/>
      <c r="T492" s="292"/>
    </row>
    <row r="493" ht="12.75" customHeight="1">
      <c r="D493" s="293"/>
      <c r="E493" s="107"/>
      <c r="F493" s="294"/>
      <c r="G493" s="295"/>
      <c r="J493" s="296"/>
      <c r="K493" s="295"/>
      <c r="M493" s="296"/>
      <c r="N493" s="295"/>
      <c r="P493" s="296"/>
      <c r="T493" s="292"/>
    </row>
    <row r="494" ht="12.75" customHeight="1">
      <c r="D494" s="293"/>
      <c r="E494" s="107"/>
      <c r="F494" s="294"/>
      <c r="G494" s="295"/>
      <c r="J494" s="296"/>
      <c r="K494" s="295"/>
      <c r="M494" s="296"/>
      <c r="N494" s="295"/>
      <c r="P494" s="296"/>
      <c r="T494" s="292"/>
    </row>
    <row r="495" ht="12.75" customHeight="1">
      <c r="D495" s="293"/>
      <c r="E495" s="107"/>
      <c r="F495" s="294"/>
      <c r="G495" s="295"/>
      <c r="J495" s="296"/>
      <c r="K495" s="295"/>
      <c r="M495" s="296"/>
      <c r="N495" s="295"/>
      <c r="P495" s="296"/>
      <c r="T495" s="292"/>
    </row>
    <row r="496" ht="12.75" customHeight="1">
      <c r="D496" s="293"/>
      <c r="E496" s="107"/>
      <c r="F496" s="294"/>
      <c r="G496" s="295"/>
      <c r="J496" s="296"/>
      <c r="K496" s="295"/>
      <c r="M496" s="296"/>
      <c r="N496" s="295"/>
      <c r="P496" s="296"/>
      <c r="T496" s="292"/>
    </row>
    <row r="497" ht="12.75" customHeight="1">
      <c r="D497" s="293"/>
      <c r="E497" s="107"/>
      <c r="F497" s="294"/>
      <c r="G497" s="295"/>
      <c r="J497" s="296"/>
      <c r="K497" s="295"/>
      <c r="M497" s="296"/>
      <c r="N497" s="295"/>
      <c r="P497" s="296"/>
      <c r="T497" s="292"/>
    </row>
    <row r="498" ht="12.75" customHeight="1">
      <c r="D498" s="293"/>
      <c r="E498" s="107"/>
      <c r="F498" s="294"/>
      <c r="G498" s="295"/>
      <c r="J498" s="296"/>
      <c r="K498" s="295"/>
      <c r="M498" s="296"/>
      <c r="N498" s="295"/>
      <c r="P498" s="296"/>
      <c r="T498" s="292"/>
    </row>
    <row r="499" ht="12.75" customHeight="1">
      <c r="D499" s="293"/>
      <c r="E499" s="107"/>
      <c r="F499" s="294"/>
      <c r="G499" s="295"/>
      <c r="J499" s="296"/>
      <c r="K499" s="295"/>
      <c r="M499" s="296"/>
      <c r="N499" s="295"/>
      <c r="P499" s="296"/>
      <c r="T499" s="292"/>
    </row>
    <row r="500" ht="12.75" customHeight="1">
      <c r="D500" s="293"/>
      <c r="E500" s="107"/>
      <c r="F500" s="294"/>
      <c r="G500" s="295"/>
      <c r="J500" s="296"/>
      <c r="K500" s="295"/>
      <c r="M500" s="296"/>
      <c r="N500" s="295"/>
      <c r="P500" s="296"/>
      <c r="T500" s="292"/>
    </row>
    <row r="501" ht="12.75" customHeight="1">
      <c r="D501" s="293"/>
      <c r="E501" s="107"/>
      <c r="F501" s="294"/>
      <c r="G501" s="295"/>
      <c r="J501" s="296"/>
      <c r="K501" s="295"/>
      <c r="M501" s="296"/>
      <c r="N501" s="295"/>
      <c r="P501" s="296"/>
      <c r="T501" s="292"/>
    </row>
    <row r="502" ht="12.75" customHeight="1">
      <c r="D502" s="293"/>
      <c r="E502" s="107"/>
      <c r="F502" s="294"/>
      <c r="G502" s="295"/>
      <c r="J502" s="296"/>
      <c r="K502" s="295"/>
      <c r="M502" s="296"/>
      <c r="N502" s="295"/>
      <c r="P502" s="296"/>
      <c r="T502" s="292"/>
    </row>
    <row r="503" ht="12.75" customHeight="1">
      <c r="D503" s="293"/>
      <c r="E503" s="107"/>
      <c r="F503" s="294"/>
      <c r="G503" s="295"/>
      <c r="J503" s="296"/>
      <c r="K503" s="295"/>
      <c r="M503" s="296"/>
      <c r="N503" s="295"/>
      <c r="P503" s="296"/>
      <c r="T503" s="292"/>
    </row>
    <row r="504" ht="12.75" customHeight="1">
      <c r="D504" s="293"/>
      <c r="E504" s="107"/>
      <c r="F504" s="294"/>
      <c r="G504" s="295"/>
      <c r="J504" s="296"/>
      <c r="K504" s="295"/>
      <c r="M504" s="296"/>
      <c r="N504" s="295"/>
      <c r="P504" s="296"/>
      <c r="T504" s="292"/>
    </row>
    <row r="505" ht="12.75" customHeight="1">
      <c r="D505" s="293"/>
      <c r="E505" s="107"/>
      <c r="F505" s="294"/>
      <c r="G505" s="295"/>
      <c r="J505" s="296"/>
      <c r="K505" s="295"/>
      <c r="M505" s="296"/>
      <c r="N505" s="295"/>
      <c r="P505" s="296"/>
      <c r="T505" s="292"/>
    </row>
    <row r="506" ht="12.75" customHeight="1">
      <c r="D506" s="293"/>
      <c r="E506" s="107"/>
      <c r="F506" s="294"/>
      <c r="G506" s="295"/>
      <c r="J506" s="296"/>
      <c r="K506" s="295"/>
      <c r="M506" s="296"/>
      <c r="N506" s="295"/>
      <c r="P506" s="296"/>
      <c r="T506" s="292"/>
    </row>
    <row r="507" ht="12.75" customHeight="1">
      <c r="D507" s="293"/>
      <c r="E507" s="107"/>
      <c r="F507" s="294"/>
      <c r="G507" s="295"/>
      <c r="J507" s="296"/>
      <c r="K507" s="295"/>
      <c r="M507" s="296"/>
      <c r="N507" s="295"/>
      <c r="P507" s="296"/>
      <c r="T507" s="292"/>
    </row>
    <row r="508" ht="12.75" customHeight="1">
      <c r="D508" s="293"/>
      <c r="E508" s="107"/>
      <c r="F508" s="294"/>
      <c r="G508" s="295"/>
      <c r="J508" s="296"/>
      <c r="K508" s="295"/>
      <c r="M508" s="296"/>
      <c r="N508" s="295"/>
      <c r="P508" s="296"/>
      <c r="T508" s="292"/>
    </row>
    <row r="509" ht="12.75" customHeight="1">
      <c r="D509" s="293"/>
      <c r="E509" s="107"/>
      <c r="F509" s="294"/>
      <c r="G509" s="295"/>
      <c r="J509" s="296"/>
      <c r="K509" s="295"/>
      <c r="M509" s="296"/>
      <c r="N509" s="295"/>
      <c r="P509" s="296"/>
      <c r="T509" s="292"/>
    </row>
    <row r="510" ht="12.75" customHeight="1">
      <c r="D510" s="293"/>
      <c r="E510" s="107"/>
      <c r="F510" s="294"/>
      <c r="G510" s="295"/>
      <c r="J510" s="296"/>
      <c r="K510" s="295"/>
      <c r="M510" s="296"/>
      <c r="N510" s="295"/>
      <c r="P510" s="296"/>
      <c r="T510" s="292"/>
    </row>
    <row r="511" ht="12.75" customHeight="1">
      <c r="D511" s="293"/>
      <c r="E511" s="107"/>
      <c r="F511" s="294"/>
      <c r="G511" s="295"/>
      <c r="J511" s="296"/>
      <c r="K511" s="295"/>
      <c r="M511" s="296"/>
      <c r="N511" s="295"/>
      <c r="P511" s="296"/>
      <c r="T511" s="292"/>
    </row>
    <row r="512" ht="12.75" customHeight="1">
      <c r="D512" s="293"/>
      <c r="E512" s="107"/>
      <c r="F512" s="294"/>
      <c r="G512" s="295"/>
      <c r="J512" s="296"/>
      <c r="K512" s="295"/>
      <c r="M512" s="296"/>
      <c r="N512" s="295"/>
      <c r="P512" s="296"/>
      <c r="T512" s="292"/>
    </row>
    <row r="513" ht="12.75" customHeight="1">
      <c r="D513" s="293"/>
      <c r="E513" s="107"/>
      <c r="F513" s="294"/>
      <c r="G513" s="295"/>
      <c r="J513" s="296"/>
      <c r="K513" s="295"/>
      <c r="M513" s="296"/>
      <c r="N513" s="295"/>
      <c r="P513" s="296"/>
      <c r="T513" s="292"/>
    </row>
    <row r="514" ht="12.75" customHeight="1">
      <c r="D514" s="293"/>
      <c r="E514" s="107"/>
      <c r="F514" s="294"/>
      <c r="G514" s="295"/>
      <c r="J514" s="296"/>
      <c r="K514" s="295"/>
      <c r="M514" s="296"/>
      <c r="N514" s="295"/>
      <c r="P514" s="296"/>
      <c r="T514" s="292"/>
    </row>
    <row r="515" ht="12.75" customHeight="1">
      <c r="D515" s="293"/>
      <c r="E515" s="107"/>
      <c r="F515" s="294"/>
      <c r="G515" s="295"/>
      <c r="J515" s="296"/>
      <c r="K515" s="295"/>
      <c r="M515" s="296"/>
      <c r="N515" s="295"/>
      <c r="P515" s="296"/>
      <c r="T515" s="292"/>
    </row>
    <row r="516" ht="12.75" customHeight="1">
      <c r="D516" s="293"/>
      <c r="E516" s="107"/>
      <c r="F516" s="294"/>
      <c r="G516" s="295"/>
      <c r="J516" s="296"/>
      <c r="K516" s="295"/>
      <c r="M516" s="296"/>
      <c r="N516" s="295"/>
      <c r="P516" s="296"/>
      <c r="T516" s="292"/>
    </row>
    <row r="517" ht="12.75" customHeight="1">
      <c r="D517" s="293"/>
      <c r="E517" s="107"/>
      <c r="F517" s="294"/>
      <c r="G517" s="295"/>
      <c r="J517" s="296"/>
      <c r="K517" s="295"/>
      <c r="M517" s="296"/>
      <c r="N517" s="295"/>
      <c r="P517" s="296"/>
      <c r="T517" s="292"/>
    </row>
    <row r="518" ht="12.75" customHeight="1">
      <c r="D518" s="293"/>
      <c r="E518" s="107"/>
      <c r="F518" s="294"/>
      <c r="G518" s="295"/>
      <c r="J518" s="296"/>
      <c r="K518" s="295"/>
      <c r="M518" s="296"/>
      <c r="N518" s="295"/>
      <c r="P518" s="296"/>
      <c r="T518" s="292"/>
    </row>
    <row r="519" ht="12.75" customHeight="1">
      <c r="D519" s="293"/>
      <c r="E519" s="107"/>
      <c r="F519" s="294"/>
      <c r="G519" s="295"/>
      <c r="J519" s="296"/>
      <c r="K519" s="295"/>
      <c r="M519" s="296"/>
      <c r="N519" s="295"/>
      <c r="P519" s="296"/>
      <c r="T519" s="292"/>
    </row>
    <row r="520" ht="12.75" customHeight="1">
      <c r="D520" s="293"/>
      <c r="E520" s="107"/>
      <c r="F520" s="294"/>
      <c r="G520" s="295"/>
      <c r="J520" s="296"/>
      <c r="K520" s="295"/>
      <c r="M520" s="296"/>
      <c r="N520" s="295"/>
      <c r="P520" s="296"/>
      <c r="T520" s="292"/>
    </row>
    <row r="521" ht="12.75" customHeight="1">
      <c r="D521" s="293"/>
      <c r="E521" s="107"/>
      <c r="F521" s="294"/>
      <c r="G521" s="295"/>
      <c r="J521" s="296"/>
      <c r="K521" s="295"/>
      <c r="M521" s="296"/>
      <c r="N521" s="295"/>
      <c r="P521" s="296"/>
      <c r="T521" s="292"/>
    </row>
    <row r="522" ht="12.75" customHeight="1">
      <c r="D522" s="293"/>
      <c r="E522" s="107"/>
      <c r="F522" s="294"/>
      <c r="G522" s="295"/>
      <c r="J522" s="296"/>
      <c r="K522" s="295"/>
      <c r="M522" s="296"/>
      <c r="N522" s="295"/>
      <c r="P522" s="296"/>
      <c r="T522" s="292"/>
    </row>
    <row r="523" ht="12.75" customHeight="1">
      <c r="D523" s="293"/>
      <c r="E523" s="107"/>
      <c r="F523" s="294"/>
      <c r="G523" s="295"/>
      <c r="J523" s="296"/>
      <c r="K523" s="295"/>
      <c r="M523" s="296"/>
      <c r="N523" s="295"/>
      <c r="P523" s="296"/>
      <c r="T523" s="292"/>
    </row>
    <row r="524" ht="12.75" customHeight="1">
      <c r="D524" s="293"/>
      <c r="E524" s="107"/>
      <c r="F524" s="294"/>
      <c r="G524" s="295"/>
      <c r="J524" s="296"/>
      <c r="K524" s="295"/>
      <c r="M524" s="296"/>
      <c r="N524" s="295"/>
      <c r="P524" s="296"/>
      <c r="T524" s="292"/>
    </row>
    <row r="525" ht="12.75" customHeight="1">
      <c r="D525" s="293"/>
      <c r="E525" s="107"/>
      <c r="F525" s="294"/>
      <c r="G525" s="295"/>
      <c r="J525" s="296"/>
      <c r="K525" s="295"/>
      <c r="M525" s="296"/>
      <c r="N525" s="295"/>
      <c r="P525" s="296"/>
      <c r="T525" s="292"/>
    </row>
    <row r="526" ht="12.75" customHeight="1">
      <c r="D526" s="293"/>
      <c r="E526" s="107"/>
      <c r="F526" s="294"/>
      <c r="G526" s="295"/>
      <c r="J526" s="296"/>
      <c r="K526" s="295"/>
      <c r="M526" s="296"/>
      <c r="N526" s="295"/>
      <c r="P526" s="296"/>
      <c r="T526" s="292"/>
    </row>
    <row r="527" ht="12.75" customHeight="1">
      <c r="D527" s="293"/>
      <c r="E527" s="107"/>
      <c r="F527" s="294"/>
      <c r="G527" s="295"/>
      <c r="J527" s="296"/>
      <c r="K527" s="295"/>
      <c r="M527" s="296"/>
      <c r="N527" s="295"/>
      <c r="P527" s="296"/>
      <c r="T527" s="292"/>
    </row>
    <row r="528" ht="12.75" customHeight="1">
      <c r="D528" s="293"/>
      <c r="E528" s="107"/>
      <c r="F528" s="294"/>
      <c r="G528" s="295"/>
      <c r="J528" s="296"/>
      <c r="K528" s="295"/>
      <c r="M528" s="296"/>
      <c r="N528" s="295"/>
      <c r="P528" s="296"/>
      <c r="T528" s="292"/>
    </row>
    <row r="529" ht="12.75" customHeight="1">
      <c r="D529" s="293"/>
      <c r="E529" s="107"/>
      <c r="F529" s="294"/>
      <c r="G529" s="295"/>
      <c r="J529" s="296"/>
      <c r="K529" s="295"/>
      <c r="M529" s="296"/>
      <c r="N529" s="295"/>
      <c r="P529" s="296"/>
      <c r="T529" s="292"/>
    </row>
    <row r="530" ht="12.75" customHeight="1">
      <c r="D530" s="293"/>
      <c r="E530" s="107"/>
      <c r="F530" s="294"/>
      <c r="G530" s="295"/>
      <c r="J530" s="296"/>
      <c r="K530" s="295"/>
      <c r="M530" s="296"/>
      <c r="N530" s="295"/>
      <c r="P530" s="296"/>
      <c r="T530" s="292"/>
    </row>
    <row r="531" ht="12.75" customHeight="1">
      <c r="D531" s="293"/>
      <c r="E531" s="107"/>
      <c r="F531" s="294"/>
      <c r="G531" s="295"/>
      <c r="J531" s="296"/>
      <c r="K531" s="295"/>
      <c r="M531" s="296"/>
      <c r="N531" s="295"/>
      <c r="P531" s="296"/>
      <c r="T531" s="292"/>
    </row>
    <row r="532" ht="12.75" customHeight="1">
      <c r="D532" s="293"/>
      <c r="E532" s="107"/>
      <c r="F532" s="294"/>
      <c r="G532" s="295"/>
      <c r="J532" s="296"/>
      <c r="K532" s="295"/>
      <c r="M532" s="296"/>
      <c r="N532" s="295"/>
      <c r="P532" s="296"/>
      <c r="T532" s="292"/>
    </row>
    <row r="533" ht="12.75" customHeight="1">
      <c r="D533" s="293"/>
      <c r="E533" s="107"/>
      <c r="F533" s="294"/>
      <c r="G533" s="295"/>
      <c r="J533" s="296"/>
      <c r="K533" s="295"/>
      <c r="M533" s="296"/>
      <c r="N533" s="295"/>
      <c r="P533" s="296"/>
      <c r="T533" s="292"/>
    </row>
    <row r="534" ht="12.75" customHeight="1">
      <c r="D534" s="293"/>
      <c r="E534" s="107"/>
      <c r="F534" s="294"/>
      <c r="G534" s="295"/>
      <c r="J534" s="296"/>
      <c r="K534" s="295"/>
      <c r="M534" s="296"/>
      <c r="N534" s="295"/>
      <c r="P534" s="296"/>
      <c r="T534" s="292"/>
    </row>
    <row r="535" ht="12.75" customHeight="1">
      <c r="D535" s="293"/>
      <c r="E535" s="107"/>
      <c r="F535" s="294"/>
      <c r="G535" s="295"/>
      <c r="J535" s="296"/>
      <c r="K535" s="295"/>
      <c r="M535" s="296"/>
      <c r="N535" s="295"/>
      <c r="P535" s="296"/>
      <c r="T535" s="292"/>
    </row>
    <row r="536" ht="12.75" customHeight="1">
      <c r="D536" s="293"/>
      <c r="E536" s="107"/>
      <c r="F536" s="294"/>
      <c r="G536" s="295"/>
      <c r="J536" s="296"/>
      <c r="K536" s="295"/>
      <c r="M536" s="296"/>
      <c r="N536" s="295"/>
      <c r="P536" s="296"/>
      <c r="T536" s="292"/>
    </row>
    <row r="537" ht="12.75" customHeight="1">
      <c r="D537" s="293"/>
      <c r="E537" s="107"/>
      <c r="F537" s="294"/>
      <c r="G537" s="295"/>
      <c r="J537" s="296"/>
      <c r="K537" s="295"/>
      <c r="M537" s="296"/>
      <c r="N537" s="295"/>
      <c r="P537" s="296"/>
      <c r="T537" s="292"/>
    </row>
    <row r="538" ht="12.75" customHeight="1">
      <c r="D538" s="293"/>
      <c r="E538" s="107"/>
      <c r="F538" s="294"/>
      <c r="G538" s="295"/>
      <c r="J538" s="296"/>
      <c r="K538" s="295"/>
      <c r="M538" s="296"/>
      <c r="N538" s="295"/>
      <c r="P538" s="296"/>
      <c r="T538" s="292"/>
    </row>
    <row r="539" ht="12.75" customHeight="1">
      <c r="D539" s="293"/>
      <c r="E539" s="107"/>
      <c r="F539" s="294"/>
      <c r="G539" s="295"/>
      <c r="J539" s="296"/>
      <c r="K539" s="295"/>
      <c r="M539" s="296"/>
      <c r="N539" s="295"/>
      <c r="P539" s="296"/>
      <c r="T539" s="292"/>
    </row>
    <row r="540" ht="12.75" customHeight="1">
      <c r="D540" s="293"/>
      <c r="E540" s="107"/>
      <c r="F540" s="294"/>
      <c r="G540" s="295"/>
      <c r="J540" s="296"/>
      <c r="K540" s="295"/>
      <c r="M540" s="296"/>
      <c r="N540" s="295"/>
      <c r="P540" s="296"/>
      <c r="T540" s="292"/>
    </row>
    <row r="541" ht="12.75" customHeight="1">
      <c r="D541" s="293"/>
      <c r="E541" s="107"/>
      <c r="F541" s="294"/>
      <c r="G541" s="295"/>
      <c r="J541" s="296"/>
      <c r="K541" s="295"/>
      <c r="M541" s="296"/>
      <c r="N541" s="295"/>
      <c r="P541" s="296"/>
      <c r="T541" s="292"/>
    </row>
    <row r="542" ht="12.75" customHeight="1">
      <c r="D542" s="293"/>
      <c r="E542" s="107"/>
      <c r="F542" s="294"/>
      <c r="G542" s="295"/>
      <c r="J542" s="296"/>
      <c r="K542" s="295"/>
      <c r="M542" s="296"/>
      <c r="N542" s="295"/>
      <c r="P542" s="296"/>
      <c r="T542" s="292"/>
    </row>
    <row r="543" ht="12.75" customHeight="1">
      <c r="D543" s="293"/>
      <c r="E543" s="107"/>
      <c r="F543" s="294"/>
      <c r="G543" s="295"/>
      <c r="J543" s="296"/>
      <c r="K543" s="295"/>
      <c r="M543" s="296"/>
      <c r="N543" s="295"/>
      <c r="P543" s="296"/>
      <c r="T543" s="292"/>
    </row>
    <row r="544" ht="12.75" customHeight="1">
      <c r="D544" s="293"/>
      <c r="E544" s="107"/>
      <c r="F544" s="294"/>
      <c r="G544" s="295"/>
      <c r="J544" s="296"/>
      <c r="K544" s="295"/>
      <c r="M544" s="296"/>
      <c r="N544" s="295"/>
      <c r="P544" s="296"/>
      <c r="T544" s="292"/>
    </row>
    <row r="545" ht="12.75" customHeight="1">
      <c r="D545" s="293"/>
      <c r="E545" s="107"/>
      <c r="F545" s="294"/>
      <c r="G545" s="295"/>
      <c r="J545" s="296"/>
      <c r="K545" s="295"/>
      <c r="M545" s="296"/>
      <c r="N545" s="295"/>
      <c r="P545" s="296"/>
      <c r="T545" s="292"/>
    </row>
    <row r="546" ht="12.75" customHeight="1">
      <c r="D546" s="293"/>
      <c r="E546" s="107"/>
      <c r="F546" s="294"/>
      <c r="G546" s="295"/>
      <c r="J546" s="296"/>
      <c r="K546" s="295"/>
      <c r="M546" s="296"/>
      <c r="N546" s="295"/>
      <c r="P546" s="296"/>
      <c r="T546" s="292"/>
    </row>
    <row r="547" ht="12.75" customHeight="1">
      <c r="D547" s="293"/>
      <c r="E547" s="107"/>
      <c r="F547" s="294"/>
      <c r="G547" s="295"/>
      <c r="J547" s="296"/>
      <c r="K547" s="295"/>
      <c r="M547" s="296"/>
      <c r="N547" s="295"/>
      <c r="P547" s="296"/>
      <c r="T547" s="292"/>
    </row>
    <row r="548" ht="12.75" customHeight="1">
      <c r="D548" s="293"/>
      <c r="E548" s="107"/>
      <c r="F548" s="294"/>
      <c r="G548" s="295"/>
      <c r="J548" s="296"/>
      <c r="K548" s="295"/>
      <c r="M548" s="296"/>
      <c r="N548" s="295"/>
      <c r="P548" s="296"/>
      <c r="T548" s="292"/>
    </row>
    <row r="549" ht="12.75" customHeight="1">
      <c r="D549" s="293"/>
      <c r="E549" s="107"/>
      <c r="F549" s="294"/>
      <c r="G549" s="295"/>
      <c r="J549" s="296"/>
      <c r="K549" s="295"/>
      <c r="M549" s="296"/>
      <c r="N549" s="295"/>
      <c r="P549" s="296"/>
      <c r="T549" s="292"/>
    </row>
    <row r="550" ht="12.75" customHeight="1">
      <c r="D550" s="293"/>
      <c r="E550" s="107"/>
      <c r="F550" s="294"/>
      <c r="G550" s="295"/>
      <c r="J550" s="296"/>
      <c r="K550" s="295"/>
      <c r="M550" s="296"/>
      <c r="N550" s="295"/>
      <c r="P550" s="296"/>
      <c r="T550" s="292"/>
    </row>
    <row r="551" ht="12.75" customHeight="1">
      <c r="D551" s="293"/>
      <c r="E551" s="107"/>
      <c r="F551" s="294"/>
      <c r="G551" s="295"/>
      <c r="J551" s="296"/>
      <c r="K551" s="295"/>
      <c r="M551" s="296"/>
      <c r="N551" s="295"/>
      <c r="P551" s="296"/>
      <c r="T551" s="292"/>
    </row>
    <row r="552" ht="12.75" customHeight="1">
      <c r="D552" s="293"/>
      <c r="E552" s="107"/>
      <c r="F552" s="294"/>
      <c r="G552" s="295"/>
      <c r="J552" s="296"/>
      <c r="K552" s="295"/>
      <c r="M552" s="296"/>
      <c r="N552" s="295"/>
      <c r="P552" s="296"/>
      <c r="T552" s="292"/>
    </row>
    <row r="553" ht="12.75" customHeight="1">
      <c r="D553" s="293"/>
      <c r="E553" s="107"/>
      <c r="F553" s="294"/>
      <c r="G553" s="295"/>
      <c r="J553" s="296"/>
      <c r="K553" s="295"/>
      <c r="M553" s="296"/>
      <c r="N553" s="295"/>
      <c r="P553" s="296"/>
      <c r="T553" s="292"/>
    </row>
    <row r="554" ht="12.75" customHeight="1">
      <c r="D554" s="293"/>
      <c r="E554" s="107"/>
      <c r="F554" s="294"/>
      <c r="G554" s="295"/>
      <c r="J554" s="296"/>
      <c r="K554" s="295"/>
      <c r="M554" s="296"/>
      <c r="N554" s="295"/>
      <c r="P554" s="296"/>
      <c r="T554" s="292"/>
    </row>
    <row r="555" ht="12.75" customHeight="1">
      <c r="D555" s="293"/>
      <c r="E555" s="107"/>
      <c r="F555" s="294"/>
      <c r="G555" s="295"/>
      <c r="J555" s="296"/>
      <c r="K555" s="295"/>
      <c r="M555" s="296"/>
      <c r="N555" s="295"/>
      <c r="P555" s="296"/>
      <c r="T555" s="292"/>
    </row>
    <row r="556" ht="12.75" customHeight="1">
      <c r="D556" s="293"/>
      <c r="E556" s="107"/>
      <c r="F556" s="294"/>
      <c r="G556" s="295"/>
      <c r="J556" s="296"/>
      <c r="K556" s="295"/>
      <c r="M556" s="296"/>
      <c r="N556" s="295"/>
      <c r="P556" s="296"/>
      <c r="T556" s="292"/>
    </row>
    <row r="557" ht="12.75" customHeight="1">
      <c r="D557" s="293"/>
      <c r="E557" s="107"/>
      <c r="F557" s="294"/>
      <c r="G557" s="295"/>
      <c r="J557" s="296"/>
      <c r="K557" s="295"/>
      <c r="M557" s="296"/>
      <c r="N557" s="295"/>
      <c r="P557" s="296"/>
      <c r="T557" s="292"/>
    </row>
    <row r="558" ht="12.75" customHeight="1">
      <c r="D558" s="293"/>
      <c r="E558" s="107"/>
      <c r="F558" s="294"/>
      <c r="G558" s="295"/>
      <c r="J558" s="296"/>
      <c r="K558" s="295"/>
      <c r="M558" s="296"/>
      <c r="N558" s="295"/>
      <c r="P558" s="296"/>
      <c r="T558" s="292"/>
    </row>
    <row r="559" ht="12.75" customHeight="1">
      <c r="D559" s="293"/>
      <c r="E559" s="107"/>
      <c r="F559" s="294"/>
      <c r="G559" s="295"/>
      <c r="J559" s="296"/>
      <c r="K559" s="295"/>
      <c r="M559" s="296"/>
      <c r="N559" s="295"/>
      <c r="P559" s="296"/>
      <c r="T559" s="292"/>
    </row>
    <row r="560" ht="12.75" customHeight="1">
      <c r="D560" s="293"/>
      <c r="E560" s="107"/>
      <c r="F560" s="294"/>
      <c r="G560" s="295"/>
      <c r="J560" s="296"/>
      <c r="K560" s="295"/>
      <c r="M560" s="296"/>
      <c r="N560" s="295"/>
      <c r="P560" s="296"/>
      <c r="T560" s="292"/>
    </row>
    <row r="561" ht="12.75" customHeight="1">
      <c r="D561" s="293"/>
      <c r="E561" s="107"/>
      <c r="F561" s="294"/>
      <c r="G561" s="295"/>
      <c r="J561" s="296"/>
      <c r="K561" s="295"/>
      <c r="M561" s="296"/>
      <c r="N561" s="295"/>
      <c r="P561" s="296"/>
      <c r="T561" s="292"/>
    </row>
    <row r="562" ht="12.75" customHeight="1">
      <c r="D562" s="293"/>
      <c r="E562" s="107"/>
      <c r="F562" s="294"/>
      <c r="G562" s="295"/>
      <c r="J562" s="296"/>
      <c r="K562" s="295"/>
      <c r="M562" s="296"/>
      <c r="N562" s="295"/>
      <c r="P562" s="296"/>
      <c r="T562" s="292"/>
    </row>
    <row r="563" ht="12.75" customHeight="1">
      <c r="D563" s="293"/>
      <c r="E563" s="107"/>
      <c r="F563" s="294"/>
      <c r="G563" s="295"/>
      <c r="J563" s="296"/>
      <c r="K563" s="295"/>
      <c r="M563" s="296"/>
      <c r="N563" s="295"/>
      <c r="P563" s="296"/>
      <c r="T563" s="292"/>
    </row>
    <row r="564" ht="12.75" customHeight="1">
      <c r="D564" s="293"/>
      <c r="E564" s="107"/>
      <c r="F564" s="294"/>
      <c r="G564" s="295"/>
      <c r="J564" s="296"/>
      <c r="K564" s="295"/>
      <c r="M564" s="296"/>
      <c r="N564" s="295"/>
      <c r="P564" s="296"/>
      <c r="T564" s="292"/>
    </row>
    <row r="565" ht="12.75" customHeight="1">
      <c r="D565" s="293"/>
      <c r="E565" s="107"/>
      <c r="F565" s="294"/>
      <c r="G565" s="295"/>
      <c r="J565" s="296"/>
      <c r="K565" s="295"/>
      <c r="M565" s="296"/>
      <c r="N565" s="295"/>
      <c r="P565" s="296"/>
      <c r="T565" s="292"/>
    </row>
    <row r="566" ht="12.75" customHeight="1">
      <c r="D566" s="293"/>
      <c r="E566" s="107"/>
      <c r="F566" s="294"/>
      <c r="G566" s="295"/>
      <c r="J566" s="296"/>
      <c r="K566" s="295"/>
      <c r="M566" s="296"/>
      <c r="N566" s="295"/>
      <c r="P566" s="296"/>
      <c r="T566" s="292"/>
    </row>
    <row r="567" ht="12.75" customHeight="1">
      <c r="D567" s="293"/>
      <c r="E567" s="107"/>
      <c r="F567" s="294"/>
      <c r="G567" s="295"/>
      <c r="J567" s="296"/>
      <c r="K567" s="295"/>
      <c r="M567" s="296"/>
      <c r="N567" s="295"/>
      <c r="P567" s="296"/>
      <c r="T567" s="292"/>
    </row>
    <row r="568" ht="12.75" customHeight="1">
      <c r="D568" s="293"/>
      <c r="E568" s="107"/>
      <c r="F568" s="294"/>
      <c r="G568" s="295"/>
      <c r="J568" s="296"/>
      <c r="K568" s="295"/>
      <c r="M568" s="296"/>
      <c r="N568" s="295"/>
      <c r="P568" s="296"/>
      <c r="T568" s="292"/>
    </row>
    <row r="569" ht="12.75" customHeight="1">
      <c r="D569" s="293"/>
      <c r="E569" s="107"/>
      <c r="F569" s="294"/>
      <c r="G569" s="295"/>
      <c r="J569" s="296"/>
      <c r="K569" s="295"/>
      <c r="M569" s="296"/>
      <c r="N569" s="295"/>
      <c r="P569" s="296"/>
      <c r="T569" s="292"/>
    </row>
    <row r="570" ht="12.75" customHeight="1">
      <c r="D570" s="293"/>
      <c r="E570" s="107"/>
      <c r="F570" s="294"/>
      <c r="G570" s="295"/>
      <c r="J570" s="296"/>
      <c r="K570" s="295"/>
      <c r="M570" s="296"/>
      <c r="N570" s="295"/>
      <c r="P570" s="296"/>
      <c r="T570" s="292"/>
    </row>
    <row r="571" ht="12.75" customHeight="1">
      <c r="D571" s="293"/>
      <c r="E571" s="107"/>
      <c r="F571" s="294"/>
      <c r="G571" s="295"/>
      <c r="J571" s="296"/>
      <c r="K571" s="295"/>
      <c r="M571" s="296"/>
      <c r="N571" s="295"/>
      <c r="P571" s="296"/>
      <c r="T571" s="292"/>
    </row>
    <row r="572" ht="12.75" customHeight="1">
      <c r="D572" s="293"/>
      <c r="E572" s="107"/>
      <c r="F572" s="294"/>
      <c r="G572" s="295"/>
      <c r="J572" s="296"/>
      <c r="K572" s="295"/>
      <c r="M572" s="296"/>
      <c r="N572" s="295"/>
      <c r="P572" s="296"/>
      <c r="T572" s="292"/>
    </row>
    <row r="573" ht="12.75" customHeight="1">
      <c r="D573" s="293"/>
      <c r="E573" s="107"/>
      <c r="F573" s="294"/>
      <c r="G573" s="295"/>
      <c r="J573" s="296"/>
      <c r="K573" s="295"/>
      <c r="M573" s="296"/>
      <c r="N573" s="295"/>
      <c r="P573" s="296"/>
      <c r="T573" s="292"/>
    </row>
    <row r="574" ht="12.75" customHeight="1">
      <c r="D574" s="293"/>
      <c r="E574" s="107"/>
      <c r="F574" s="294"/>
      <c r="G574" s="295"/>
      <c r="J574" s="296"/>
      <c r="K574" s="295"/>
      <c r="M574" s="296"/>
      <c r="N574" s="295"/>
      <c r="P574" s="296"/>
      <c r="T574" s="292"/>
    </row>
    <row r="575" ht="12.75" customHeight="1">
      <c r="D575" s="293"/>
      <c r="E575" s="107"/>
      <c r="F575" s="294"/>
      <c r="G575" s="295"/>
      <c r="J575" s="296"/>
      <c r="K575" s="295"/>
      <c r="M575" s="296"/>
      <c r="N575" s="295"/>
      <c r="P575" s="296"/>
      <c r="T575" s="292"/>
    </row>
    <row r="576" ht="12.75" customHeight="1">
      <c r="D576" s="293"/>
      <c r="E576" s="107"/>
      <c r="F576" s="294"/>
      <c r="G576" s="295"/>
      <c r="J576" s="296"/>
      <c r="K576" s="295"/>
      <c r="M576" s="296"/>
      <c r="N576" s="295"/>
      <c r="P576" s="296"/>
      <c r="T576" s="292"/>
    </row>
    <row r="577" ht="12.75" customHeight="1">
      <c r="D577" s="293"/>
      <c r="E577" s="107"/>
      <c r="F577" s="294"/>
      <c r="G577" s="295"/>
      <c r="J577" s="296"/>
      <c r="K577" s="295"/>
      <c r="M577" s="296"/>
      <c r="N577" s="295"/>
      <c r="P577" s="296"/>
      <c r="T577" s="292"/>
    </row>
    <row r="578" ht="12.75" customHeight="1">
      <c r="D578" s="293"/>
      <c r="E578" s="107"/>
      <c r="F578" s="294"/>
      <c r="G578" s="295"/>
      <c r="J578" s="296"/>
      <c r="K578" s="295"/>
      <c r="M578" s="296"/>
      <c r="N578" s="295"/>
      <c r="P578" s="296"/>
      <c r="T578" s="292"/>
    </row>
    <row r="579" ht="12.75" customHeight="1">
      <c r="D579" s="293"/>
      <c r="E579" s="107"/>
      <c r="F579" s="294"/>
      <c r="G579" s="295"/>
      <c r="J579" s="296"/>
      <c r="K579" s="295"/>
      <c r="M579" s="296"/>
      <c r="N579" s="295"/>
      <c r="P579" s="296"/>
      <c r="T579" s="292"/>
    </row>
    <row r="580" ht="12.75" customHeight="1">
      <c r="D580" s="293"/>
      <c r="E580" s="107"/>
      <c r="F580" s="294"/>
      <c r="G580" s="295"/>
      <c r="J580" s="296"/>
      <c r="K580" s="295"/>
      <c r="M580" s="296"/>
      <c r="N580" s="295"/>
      <c r="P580" s="296"/>
      <c r="T580" s="292"/>
    </row>
    <row r="581" ht="12.75" customHeight="1">
      <c r="D581" s="293"/>
      <c r="E581" s="107"/>
      <c r="F581" s="294"/>
      <c r="G581" s="295"/>
      <c r="J581" s="296"/>
      <c r="K581" s="295"/>
      <c r="M581" s="296"/>
      <c r="N581" s="295"/>
      <c r="P581" s="296"/>
      <c r="T581" s="292"/>
    </row>
    <row r="582" ht="12.75" customHeight="1">
      <c r="D582" s="293"/>
      <c r="E582" s="107"/>
      <c r="F582" s="294"/>
      <c r="G582" s="295"/>
      <c r="J582" s="296"/>
      <c r="K582" s="295"/>
      <c r="M582" s="296"/>
      <c r="N582" s="295"/>
      <c r="P582" s="296"/>
      <c r="T582" s="292"/>
    </row>
    <row r="583" ht="12.75" customHeight="1">
      <c r="D583" s="293"/>
      <c r="E583" s="107"/>
      <c r="F583" s="294"/>
      <c r="G583" s="295"/>
      <c r="J583" s="296"/>
      <c r="K583" s="295"/>
      <c r="M583" s="296"/>
      <c r="N583" s="295"/>
      <c r="P583" s="296"/>
      <c r="T583" s="292"/>
    </row>
    <row r="584" ht="12.75" customHeight="1">
      <c r="D584" s="293"/>
      <c r="E584" s="107"/>
      <c r="F584" s="294"/>
      <c r="G584" s="295"/>
      <c r="J584" s="296"/>
      <c r="K584" s="295"/>
      <c r="M584" s="296"/>
      <c r="N584" s="295"/>
      <c r="P584" s="296"/>
      <c r="T584" s="292"/>
    </row>
    <row r="585" ht="12.75" customHeight="1">
      <c r="D585" s="293"/>
      <c r="E585" s="107"/>
      <c r="F585" s="294"/>
      <c r="G585" s="295"/>
      <c r="J585" s="296"/>
      <c r="K585" s="295"/>
      <c r="M585" s="296"/>
      <c r="N585" s="295"/>
      <c r="P585" s="296"/>
      <c r="T585" s="292"/>
    </row>
    <row r="586" ht="12.75" customHeight="1">
      <c r="D586" s="293"/>
      <c r="E586" s="107"/>
      <c r="F586" s="294"/>
      <c r="G586" s="295"/>
      <c r="J586" s="296"/>
      <c r="K586" s="295"/>
      <c r="M586" s="296"/>
      <c r="N586" s="295"/>
      <c r="P586" s="296"/>
      <c r="T586" s="292"/>
    </row>
    <row r="587" ht="12.75" customHeight="1">
      <c r="D587" s="293"/>
      <c r="E587" s="107"/>
      <c r="F587" s="294"/>
      <c r="G587" s="295"/>
      <c r="J587" s="296"/>
      <c r="K587" s="295"/>
      <c r="M587" s="296"/>
      <c r="N587" s="295"/>
      <c r="P587" s="296"/>
      <c r="T587" s="292"/>
    </row>
    <row r="588" ht="12.75" customHeight="1">
      <c r="D588" s="293"/>
      <c r="E588" s="107"/>
      <c r="F588" s="294"/>
      <c r="G588" s="295"/>
      <c r="J588" s="296"/>
      <c r="K588" s="295"/>
      <c r="M588" s="296"/>
      <c r="N588" s="295"/>
      <c r="P588" s="296"/>
      <c r="T588" s="292"/>
    </row>
    <row r="589" ht="12.75" customHeight="1">
      <c r="D589" s="293"/>
      <c r="E589" s="107"/>
      <c r="F589" s="294"/>
      <c r="G589" s="295"/>
      <c r="J589" s="296"/>
      <c r="K589" s="295"/>
      <c r="M589" s="296"/>
      <c r="N589" s="295"/>
      <c r="P589" s="296"/>
      <c r="T589" s="292"/>
    </row>
    <row r="590" ht="12.75" customHeight="1">
      <c r="D590" s="293"/>
      <c r="E590" s="107"/>
      <c r="F590" s="294"/>
      <c r="G590" s="295"/>
      <c r="J590" s="296"/>
      <c r="K590" s="295"/>
      <c r="M590" s="296"/>
      <c r="N590" s="295"/>
      <c r="P590" s="296"/>
      <c r="T590" s="292"/>
    </row>
    <row r="591" ht="12.75" customHeight="1">
      <c r="D591" s="293"/>
      <c r="E591" s="107"/>
      <c r="F591" s="294"/>
      <c r="G591" s="295"/>
      <c r="J591" s="296"/>
      <c r="K591" s="295"/>
      <c r="M591" s="296"/>
      <c r="N591" s="295"/>
      <c r="P591" s="296"/>
      <c r="T591" s="292"/>
    </row>
    <row r="592" ht="12.75" customHeight="1">
      <c r="D592" s="293"/>
      <c r="E592" s="107"/>
      <c r="F592" s="294"/>
      <c r="G592" s="295"/>
      <c r="J592" s="296"/>
      <c r="K592" s="295"/>
      <c r="M592" s="296"/>
      <c r="N592" s="295"/>
      <c r="P592" s="296"/>
      <c r="T592" s="292"/>
    </row>
    <row r="593" ht="12.75" customHeight="1">
      <c r="D593" s="293"/>
      <c r="E593" s="107"/>
      <c r="F593" s="294"/>
      <c r="G593" s="295"/>
      <c r="J593" s="296"/>
      <c r="K593" s="295"/>
      <c r="M593" s="296"/>
      <c r="N593" s="295"/>
      <c r="P593" s="296"/>
      <c r="T593" s="292"/>
    </row>
    <row r="594" ht="12.75" customHeight="1">
      <c r="D594" s="293"/>
      <c r="E594" s="107"/>
      <c r="F594" s="294"/>
      <c r="G594" s="295"/>
      <c r="J594" s="296"/>
      <c r="K594" s="295"/>
      <c r="M594" s="296"/>
      <c r="N594" s="295"/>
      <c r="P594" s="296"/>
      <c r="T594" s="292"/>
    </row>
    <row r="595" ht="12.75" customHeight="1">
      <c r="D595" s="293"/>
      <c r="E595" s="107"/>
      <c r="F595" s="294"/>
      <c r="G595" s="295"/>
      <c r="J595" s="296"/>
      <c r="K595" s="295"/>
      <c r="M595" s="296"/>
      <c r="N595" s="295"/>
      <c r="P595" s="296"/>
      <c r="T595" s="292"/>
    </row>
    <row r="596" ht="12.75" customHeight="1">
      <c r="D596" s="293"/>
      <c r="E596" s="107"/>
      <c r="F596" s="294"/>
      <c r="G596" s="295"/>
      <c r="J596" s="296"/>
      <c r="K596" s="295"/>
      <c r="M596" s="296"/>
      <c r="N596" s="295"/>
      <c r="P596" s="296"/>
      <c r="T596" s="292"/>
    </row>
    <row r="597" ht="12.75" customHeight="1">
      <c r="D597" s="293"/>
      <c r="E597" s="107"/>
      <c r="F597" s="294"/>
      <c r="G597" s="295"/>
      <c r="J597" s="296"/>
      <c r="K597" s="295"/>
      <c r="M597" s="296"/>
      <c r="N597" s="295"/>
      <c r="P597" s="296"/>
      <c r="T597" s="292"/>
    </row>
    <row r="598" ht="12.75" customHeight="1">
      <c r="D598" s="293"/>
      <c r="E598" s="107"/>
      <c r="F598" s="294"/>
      <c r="G598" s="295"/>
      <c r="J598" s="296"/>
      <c r="K598" s="295"/>
      <c r="M598" s="296"/>
      <c r="N598" s="295"/>
      <c r="P598" s="296"/>
      <c r="T598" s="292"/>
    </row>
    <row r="599" ht="12.75" customHeight="1">
      <c r="D599" s="293"/>
      <c r="E599" s="107"/>
      <c r="F599" s="294"/>
      <c r="G599" s="295"/>
      <c r="J599" s="296"/>
      <c r="K599" s="295"/>
      <c r="M599" s="296"/>
      <c r="N599" s="295"/>
      <c r="P599" s="296"/>
      <c r="T599" s="292"/>
    </row>
    <row r="600" ht="12.75" customHeight="1">
      <c r="D600" s="293"/>
      <c r="E600" s="107"/>
      <c r="F600" s="294"/>
      <c r="G600" s="295"/>
      <c r="J600" s="296"/>
      <c r="K600" s="295"/>
      <c r="M600" s="296"/>
      <c r="N600" s="295"/>
      <c r="P600" s="296"/>
      <c r="T600" s="292"/>
    </row>
    <row r="601" ht="12.75" customHeight="1">
      <c r="D601" s="293"/>
      <c r="E601" s="107"/>
      <c r="F601" s="294"/>
      <c r="G601" s="295"/>
      <c r="J601" s="296"/>
      <c r="K601" s="295"/>
      <c r="M601" s="296"/>
      <c r="N601" s="295"/>
      <c r="P601" s="296"/>
      <c r="T601" s="292"/>
    </row>
    <row r="602" ht="12.75" customHeight="1">
      <c r="D602" s="293"/>
      <c r="E602" s="107"/>
      <c r="F602" s="294"/>
      <c r="G602" s="295"/>
      <c r="J602" s="296"/>
      <c r="K602" s="295"/>
      <c r="M602" s="296"/>
      <c r="N602" s="295"/>
      <c r="P602" s="296"/>
      <c r="T602" s="292"/>
    </row>
    <row r="603" ht="12.75" customHeight="1">
      <c r="D603" s="293"/>
      <c r="E603" s="107"/>
      <c r="F603" s="294"/>
      <c r="G603" s="295"/>
      <c r="J603" s="296"/>
      <c r="K603" s="295"/>
      <c r="M603" s="296"/>
      <c r="N603" s="295"/>
      <c r="P603" s="296"/>
      <c r="T603" s="292"/>
    </row>
    <row r="604" ht="12.75" customHeight="1">
      <c r="D604" s="293"/>
      <c r="E604" s="107"/>
      <c r="F604" s="294"/>
      <c r="G604" s="295"/>
      <c r="J604" s="296"/>
      <c r="K604" s="295"/>
      <c r="M604" s="296"/>
      <c r="N604" s="295"/>
      <c r="P604" s="296"/>
      <c r="T604" s="292"/>
    </row>
    <row r="605" ht="12.75" customHeight="1">
      <c r="D605" s="293"/>
      <c r="E605" s="107"/>
      <c r="F605" s="294"/>
      <c r="G605" s="295"/>
      <c r="J605" s="296"/>
      <c r="K605" s="295"/>
      <c r="M605" s="296"/>
      <c r="N605" s="295"/>
      <c r="P605" s="296"/>
      <c r="T605" s="292"/>
    </row>
    <row r="606" ht="12.75" customHeight="1">
      <c r="D606" s="293"/>
      <c r="E606" s="107"/>
      <c r="F606" s="294"/>
      <c r="G606" s="295"/>
      <c r="J606" s="296"/>
      <c r="K606" s="295"/>
      <c r="M606" s="296"/>
      <c r="N606" s="295"/>
      <c r="P606" s="296"/>
      <c r="T606" s="292"/>
    </row>
    <row r="607" ht="12.75" customHeight="1">
      <c r="D607" s="293"/>
      <c r="E607" s="107"/>
      <c r="F607" s="294"/>
      <c r="G607" s="295"/>
      <c r="J607" s="296"/>
      <c r="K607" s="295"/>
      <c r="M607" s="296"/>
      <c r="N607" s="295"/>
      <c r="P607" s="296"/>
      <c r="T607" s="292"/>
    </row>
    <row r="608" ht="12.75" customHeight="1">
      <c r="D608" s="293"/>
      <c r="E608" s="107"/>
      <c r="F608" s="294"/>
      <c r="G608" s="295"/>
      <c r="J608" s="296"/>
      <c r="K608" s="295"/>
      <c r="M608" s="296"/>
      <c r="N608" s="295"/>
      <c r="P608" s="296"/>
      <c r="T608" s="292"/>
    </row>
    <row r="609" ht="12.75" customHeight="1">
      <c r="D609" s="293"/>
      <c r="E609" s="107"/>
      <c r="F609" s="294"/>
      <c r="G609" s="295"/>
      <c r="J609" s="296"/>
      <c r="K609" s="295"/>
      <c r="M609" s="296"/>
      <c r="N609" s="295"/>
      <c r="P609" s="296"/>
      <c r="T609" s="292"/>
    </row>
    <row r="610" ht="12.75" customHeight="1">
      <c r="D610" s="293"/>
      <c r="E610" s="107"/>
      <c r="F610" s="294"/>
      <c r="G610" s="295"/>
      <c r="J610" s="296"/>
      <c r="K610" s="295"/>
      <c r="M610" s="296"/>
      <c r="N610" s="295"/>
      <c r="P610" s="296"/>
      <c r="T610" s="292"/>
    </row>
    <row r="611" ht="12.75" customHeight="1">
      <c r="D611" s="293"/>
      <c r="E611" s="107"/>
      <c r="F611" s="294"/>
      <c r="G611" s="295"/>
      <c r="J611" s="296"/>
      <c r="K611" s="295"/>
      <c r="M611" s="296"/>
      <c r="N611" s="295"/>
      <c r="P611" s="296"/>
      <c r="T611" s="292"/>
    </row>
    <row r="612" ht="12.75" customHeight="1">
      <c r="D612" s="293"/>
      <c r="E612" s="107"/>
      <c r="F612" s="294"/>
      <c r="G612" s="295"/>
      <c r="J612" s="296"/>
      <c r="K612" s="295"/>
      <c r="M612" s="296"/>
      <c r="N612" s="295"/>
      <c r="P612" s="296"/>
      <c r="T612" s="292"/>
    </row>
    <row r="613" ht="12.75" customHeight="1">
      <c r="D613" s="293"/>
      <c r="E613" s="107"/>
      <c r="F613" s="294"/>
      <c r="G613" s="295"/>
      <c r="J613" s="296"/>
      <c r="K613" s="295"/>
      <c r="M613" s="296"/>
      <c r="N613" s="295"/>
      <c r="P613" s="296"/>
      <c r="T613" s="292"/>
    </row>
    <row r="614" ht="12.75" customHeight="1">
      <c r="D614" s="293"/>
      <c r="E614" s="107"/>
      <c r="F614" s="294"/>
      <c r="G614" s="295"/>
      <c r="J614" s="296"/>
      <c r="K614" s="295"/>
      <c r="M614" s="296"/>
      <c r="N614" s="295"/>
      <c r="P614" s="296"/>
      <c r="T614" s="292"/>
    </row>
    <row r="615" ht="12.75" customHeight="1">
      <c r="D615" s="293"/>
      <c r="E615" s="107"/>
      <c r="F615" s="294"/>
      <c r="G615" s="295"/>
      <c r="J615" s="296"/>
      <c r="K615" s="295"/>
      <c r="M615" s="296"/>
      <c r="N615" s="295"/>
      <c r="P615" s="296"/>
      <c r="T615" s="292"/>
    </row>
    <row r="616" ht="12.75" customHeight="1">
      <c r="D616" s="293"/>
      <c r="E616" s="107"/>
      <c r="F616" s="294"/>
      <c r="G616" s="295"/>
      <c r="J616" s="296"/>
      <c r="K616" s="295"/>
      <c r="M616" s="296"/>
      <c r="N616" s="295"/>
      <c r="P616" s="296"/>
      <c r="T616" s="292"/>
    </row>
    <row r="617" ht="12.75" customHeight="1">
      <c r="D617" s="293"/>
      <c r="E617" s="107"/>
      <c r="F617" s="294"/>
      <c r="G617" s="295"/>
      <c r="J617" s="296"/>
      <c r="K617" s="295"/>
      <c r="M617" s="296"/>
      <c r="N617" s="295"/>
      <c r="P617" s="296"/>
      <c r="T617" s="292"/>
    </row>
    <row r="618" ht="12.75" customHeight="1">
      <c r="D618" s="293"/>
      <c r="E618" s="107"/>
      <c r="F618" s="294"/>
      <c r="G618" s="295"/>
      <c r="J618" s="296"/>
      <c r="K618" s="295"/>
      <c r="M618" s="296"/>
      <c r="N618" s="295"/>
      <c r="P618" s="296"/>
      <c r="T618" s="292"/>
    </row>
    <row r="619" ht="12.75" customHeight="1">
      <c r="D619" s="293"/>
      <c r="E619" s="107"/>
      <c r="F619" s="294"/>
      <c r="G619" s="295"/>
      <c r="J619" s="296"/>
      <c r="K619" s="295"/>
      <c r="M619" s="296"/>
      <c r="N619" s="295"/>
      <c r="P619" s="296"/>
      <c r="T619" s="292"/>
    </row>
    <row r="620" ht="12.75" customHeight="1">
      <c r="D620" s="293"/>
      <c r="E620" s="107"/>
      <c r="F620" s="294"/>
      <c r="G620" s="295"/>
      <c r="J620" s="296"/>
      <c r="K620" s="295"/>
      <c r="M620" s="296"/>
      <c r="N620" s="295"/>
      <c r="P620" s="296"/>
      <c r="T620" s="292"/>
    </row>
    <row r="621" ht="12.75" customHeight="1">
      <c r="D621" s="293"/>
      <c r="E621" s="107"/>
      <c r="F621" s="294"/>
      <c r="G621" s="295"/>
      <c r="J621" s="296"/>
      <c r="K621" s="295"/>
      <c r="M621" s="296"/>
      <c r="N621" s="295"/>
      <c r="P621" s="296"/>
      <c r="T621" s="292"/>
    </row>
    <row r="622" ht="12.75" customHeight="1">
      <c r="D622" s="293"/>
      <c r="E622" s="107"/>
      <c r="F622" s="294"/>
      <c r="G622" s="295"/>
      <c r="J622" s="296"/>
      <c r="K622" s="295"/>
      <c r="M622" s="296"/>
      <c r="N622" s="295"/>
      <c r="P622" s="296"/>
      <c r="T622" s="292"/>
    </row>
    <row r="623" ht="12.75" customHeight="1">
      <c r="D623" s="293"/>
      <c r="E623" s="107"/>
      <c r="F623" s="294"/>
      <c r="G623" s="295"/>
      <c r="J623" s="296"/>
      <c r="K623" s="295"/>
      <c r="M623" s="296"/>
      <c r="N623" s="295"/>
      <c r="P623" s="296"/>
      <c r="T623" s="292"/>
    </row>
    <row r="624" ht="12.75" customHeight="1">
      <c r="D624" s="293"/>
      <c r="E624" s="107"/>
      <c r="F624" s="294"/>
      <c r="G624" s="295"/>
      <c r="J624" s="296"/>
      <c r="K624" s="295"/>
      <c r="M624" s="296"/>
      <c r="N624" s="295"/>
      <c r="P624" s="296"/>
      <c r="T624" s="292"/>
    </row>
    <row r="625" ht="12.75" customHeight="1">
      <c r="D625" s="293"/>
      <c r="E625" s="107"/>
      <c r="F625" s="294"/>
      <c r="G625" s="295"/>
      <c r="J625" s="296"/>
      <c r="K625" s="295"/>
      <c r="M625" s="296"/>
      <c r="N625" s="295"/>
      <c r="P625" s="296"/>
      <c r="T625" s="292"/>
    </row>
    <row r="626" ht="12.75" customHeight="1">
      <c r="D626" s="293"/>
      <c r="E626" s="107"/>
      <c r="F626" s="294"/>
      <c r="G626" s="295"/>
      <c r="J626" s="296"/>
      <c r="K626" s="295"/>
      <c r="M626" s="296"/>
      <c r="N626" s="295"/>
      <c r="P626" s="296"/>
      <c r="T626" s="292"/>
    </row>
    <row r="627" ht="12.75" customHeight="1">
      <c r="D627" s="293"/>
      <c r="E627" s="107"/>
      <c r="F627" s="294"/>
      <c r="G627" s="295"/>
      <c r="J627" s="296"/>
      <c r="K627" s="295"/>
      <c r="M627" s="296"/>
      <c r="N627" s="295"/>
      <c r="P627" s="296"/>
      <c r="T627" s="292"/>
    </row>
    <row r="628" ht="12.75" customHeight="1">
      <c r="D628" s="293"/>
      <c r="E628" s="107"/>
      <c r="F628" s="294"/>
      <c r="G628" s="295"/>
      <c r="J628" s="296"/>
      <c r="K628" s="295"/>
      <c r="M628" s="296"/>
      <c r="N628" s="295"/>
      <c r="P628" s="296"/>
      <c r="T628" s="292"/>
    </row>
    <row r="629" ht="12.75" customHeight="1">
      <c r="D629" s="293"/>
      <c r="E629" s="107"/>
      <c r="F629" s="294"/>
      <c r="G629" s="295"/>
      <c r="J629" s="296"/>
      <c r="K629" s="295"/>
      <c r="M629" s="296"/>
      <c r="N629" s="295"/>
      <c r="P629" s="296"/>
      <c r="T629" s="292"/>
    </row>
    <row r="630" ht="12.75" customHeight="1">
      <c r="D630" s="293"/>
      <c r="E630" s="107"/>
      <c r="F630" s="294"/>
      <c r="G630" s="295"/>
      <c r="J630" s="296"/>
      <c r="K630" s="295"/>
      <c r="M630" s="296"/>
      <c r="N630" s="295"/>
      <c r="P630" s="296"/>
      <c r="T630" s="292"/>
    </row>
    <row r="631" ht="12.75" customHeight="1">
      <c r="D631" s="293"/>
      <c r="E631" s="107"/>
      <c r="F631" s="294"/>
      <c r="G631" s="295"/>
      <c r="J631" s="296"/>
      <c r="K631" s="295"/>
      <c r="M631" s="296"/>
      <c r="N631" s="295"/>
      <c r="P631" s="296"/>
      <c r="T631" s="292"/>
    </row>
    <row r="632" ht="12.75" customHeight="1">
      <c r="D632" s="293"/>
      <c r="E632" s="107"/>
      <c r="F632" s="294"/>
      <c r="G632" s="295"/>
      <c r="J632" s="296"/>
      <c r="K632" s="295"/>
      <c r="M632" s="296"/>
      <c r="N632" s="295"/>
      <c r="P632" s="296"/>
      <c r="T632" s="292"/>
    </row>
    <row r="633" ht="12.75" customHeight="1">
      <c r="D633" s="293"/>
      <c r="E633" s="107"/>
      <c r="F633" s="294"/>
      <c r="G633" s="295"/>
      <c r="J633" s="296"/>
      <c r="K633" s="295"/>
      <c r="M633" s="296"/>
      <c r="N633" s="295"/>
      <c r="P633" s="296"/>
      <c r="T633" s="292"/>
    </row>
    <row r="634" ht="12.75" customHeight="1">
      <c r="D634" s="293"/>
      <c r="E634" s="107"/>
      <c r="F634" s="294"/>
      <c r="G634" s="295"/>
      <c r="J634" s="296"/>
      <c r="K634" s="295"/>
      <c r="M634" s="296"/>
      <c r="N634" s="295"/>
      <c r="P634" s="296"/>
      <c r="T634" s="292"/>
    </row>
    <row r="635" ht="12.75" customHeight="1">
      <c r="D635" s="293"/>
      <c r="E635" s="107"/>
      <c r="F635" s="294"/>
      <c r="G635" s="295"/>
      <c r="J635" s="296"/>
      <c r="K635" s="295"/>
      <c r="M635" s="296"/>
      <c r="N635" s="295"/>
      <c r="P635" s="296"/>
      <c r="T635" s="292"/>
    </row>
    <row r="636" ht="12.75" customHeight="1">
      <c r="D636" s="293"/>
      <c r="E636" s="107"/>
      <c r="F636" s="294"/>
      <c r="G636" s="295"/>
      <c r="J636" s="296"/>
      <c r="K636" s="295"/>
      <c r="M636" s="296"/>
      <c r="N636" s="295"/>
      <c r="P636" s="296"/>
      <c r="T636" s="292"/>
    </row>
    <row r="637" ht="12.75" customHeight="1">
      <c r="D637" s="293"/>
      <c r="E637" s="107"/>
      <c r="F637" s="294"/>
      <c r="G637" s="295"/>
      <c r="J637" s="296"/>
      <c r="K637" s="295"/>
      <c r="M637" s="296"/>
      <c r="N637" s="295"/>
      <c r="P637" s="296"/>
      <c r="T637" s="292"/>
    </row>
    <row r="638" ht="12.75" customHeight="1">
      <c r="D638" s="293"/>
      <c r="E638" s="107"/>
      <c r="F638" s="294"/>
      <c r="G638" s="295"/>
      <c r="J638" s="296"/>
      <c r="K638" s="295"/>
      <c r="M638" s="296"/>
      <c r="N638" s="295"/>
      <c r="P638" s="296"/>
      <c r="T638" s="292"/>
    </row>
    <row r="639" ht="12.75" customHeight="1">
      <c r="D639" s="293"/>
      <c r="E639" s="107"/>
      <c r="F639" s="294"/>
      <c r="G639" s="295"/>
      <c r="J639" s="296"/>
      <c r="K639" s="295"/>
      <c r="M639" s="296"/>
      <c r="N639" s="295"/>
      <c r="P639" s="296"/>
      <c r="T639" s="292"/>
    </row>
    <row r="640" ht="12.75" customHeight="1">
      <c r="D640" s="293"/>
      <c r="E640" s="107"/>
      <c r="F640" s="294"/>
      <c r="G640" s="295"/>
      <c r="J640" s="296"/>
      <c r="K640" s="295"/>
      <c r="M640" s="296"/>
      <c r="N640" s="295"/>
      <c r="P640" s="296"/>
      <c r="T640" s="292"/>
    </row>
    <row r="641" ht="12.75" customHeight="1">
      <c r="D641" s="293"/>
      <c r="E641" s="107"/>
      <c r="F641" s="294"/>
      <c r="G641" s="295"/>
      <c r="J641" s="296"/>
      <c r="K641" s="295"/>
      <c r="M641" s="296"/>
      <c r="N641" s="295"/>
      <c r="P641" s="296"/>
      <c r="T641" s="292"/>
    </row>
    <row r="642" ht="12.75" customHeight="1">
      <c r="D642" s="293"/>
      <c r="E642" s="107"/>
      <c r="F642" s="294"/>
      <c r="G642" s="295"/>
      <c r="J642" s="296"/>
      <c r="K642" s="295"/>
      <c r="M642" s="296"/>
      <c r="N642" s="295"/>
      <c r="P642" s="296"/>
      <c r="T642" s="292"/>
    </row>
    <row r="643" ht="12.75" customHeight="1">
      <c r="D643" s="293"/>
      <c r="E643" s="107"/>
      <c r="F643" s="294"/>
      <c r="G643" s="295"/>
      <c r="J643" s="296"/>
      <c r="K643" s="295"/>
      <c r="M643" s="296"/>
      <c r="N643" s="295"/>
      <c r="P643" s="296"/>
      <c r="T643" s="292"/>
    </row>
    <row r="644" ht="12.75" customHeight="1">
      <c r="D644" s="293"/>
      <c r="E644" s="107"/>
      <c r="F644" s="294"/>
      <c r="G644" s="295"/>
      <c r="J644" s="296"/>
      <c r="K644" s="295"/>
      <c r="M644" s="296"/>
      <c r="N644" s="295"/>
      <c r="P644" s="296"/>
      <c r="T644" s="292"/>
    </row>
    <row r="645" ht="12.75" customHeight="1">
      <c r="D645" s="293"/>
      <c r="E645" s="107"/>
      <c r="F645" s="294"/>
      <c r="G645" s="295"/>
      <c r="J645" s="296"/>
      <c r="K645" s="295"/>
      <c r="M645" s="296"/>
      <c r="N645" s="295"/>
      <c r="P645" s="296"/>
      <c r="T645" s="292"/>
    </row>
    <row r="646" ht="12.75" customHeight="1">
      <c r="D646" s="293"/>
      <c r="E646" s="107"/>
      <c r="F646" s="294"/>
      <c r="G646" s="295"/>
      <c r="J646" s="296"/>
      <c r="K646" s="295"/>
      <c r="M646" s="296"/>
      <c r="N646" s="295"/>
      <c r="P646" s="296"/>
      <c r="T646" s="292"/>
    </row>
    <row r="647" ht="12.75" customHeight="1">
      <c r="D647" s="293"/>
      <c r="E647" s="107"/>
      <c r="F647" s="294"/>
      <c r="G647" s="295"/>
      <c r="J647" s="296"/>
      <c r="K647" s="295"/>
      <c r="M647" s="296"/>
      <c r="N647" s="295"/>
      <c r="P647" s="296"/>
      <c r="T647" s="292"/>
    </row>
    <row r="648" ht="12.75" customHeight="1">
      <c r="D648" s="293"/>
      <c r="E648" s="107"/>
      <c r="F648" s="294"/>
      <c r="G648" s="295"/>
      <c r="J648" s="296"/>
      <c r="K648" s="295"/>
      <c r="M648" s="296"/>
      <c r="N648" s="295"/>
      <c r="P648" s="296"/>
      <c r="T648" s="292"/>
    </row>
    <row r="649" ht="12.75" customHeight="1">
      <c r="D649" s="293"/>
      <c r="E649" s="107"/>
      <c r="F649" s="294"/>
      <c r="G649" s="295"/>
      <c r="J649" s="296"/>
      <c r="K649" s="295"/>
      <c r="M649" s="296"/>
      <c r="N649" s="295"/>
      <c r="P649" s="296"/>
      <c r="T649" s="292"/>
    </row>
    <row r="650" ht="12.75" customHeight="1">
      <c r="D650" s="293"/>
      <c r="E650" s="107"/>
      <c r="F650" s="294"/>
      <c r="G650" s="295"/>
      <c r="J650" s="296"/>
      <c r="K650" s="295"/>
      <c r="M650" s="296"/>
      <c r="N650" s="295"/>
      <c r="P650" s="296"/>
      <c r="T650" s="292"/>
    </row>
    <row r="651" ht="12.75" customHeight="1">
      <c r="D651" s="293"/>
      <c r="E651" s="107"/>
      <c r="F651" s="294"/>
      <c r="G651" s="295"/>
      <c r="J651" s="296"/>
      <c r="K651" s="295"/>
      <c r="M651" s="296"/>
      <c r="N651" s="295"/>
      <c r="P651" s="296"/>
      <c r="T651" s="292"/>
    </row>
    <row r="652" ht="12.75" customHeight="1">
      <c r="D652" s="293"/>
      <c r="E652" s="107"/>
      <c r="F652" s="294"/>
      <c r="G652" s="295"/>
      <c r="J652" s="296"/>
      <c r="K652" s="295"/>
      <c r="M652" s="296"/>
      <c r="N652" s="295"/>
      <c r="P652" s="296"/>
      <c r="T652" s="292"/>
    </row>
    <row r="653" ht="12.75" customHeight="1">
      <c r="D653" s="293"/>
      <c r="E653" s="107"/>
      <c r="F653" s="294"/>
      <c r="G653" s="295"/>
      <c r="J653" s="296"/>
      <c r="K653" s="295"/>
      <c r="M653" s="296"/>
      <c r="N653" s="295"/>
      <c r="P653" s="296"/>
      <c r="T653" s="292"/>
    </row>
    <row r="654" ht="12.75" customHeight="1">
      <c r="D654" s="293"/>
      <c r="E654" s="107"/>
      <c r="F654" s="294"/>
      <c r="G654" s="295"/>
      <c r="J654" s="296"/>
      <c r="K654" s="295"/>
      <c r="M654" s="296"/>
      <c r="N654" s="295"/>
      <c r="P654" s="296"/>
      <c r="T654" s="292"/>
    </row>
    <row r="655" ht="12.75" customHeight="1">
      <c r="D655" s="293"/>
      <c r="E655" s="107"/>
      <c r="F655" s="294"/>
      <c r="G655" s="295"/>
      <c r="J655" s="296"/>
      <c r="K655" s="295"/>
      <c r="M655" s="296"/>
      <c r="N655" s="295"/>
      <c r="P655" s="296"/>
      <c r="T655" s="292"/>
    </row>
    <row r="656" ht="12.75" customHeight="1">
      <c r="D656" s="293"/>
      <c r="E656" s="107"/>
      <c r="F656" s="294"/>
      <c r="G656" s="295"/>
      <c r="J656" s="296"/>
      <c r="K656" s="295"/>
      <c r="M656" s="296"/>
      <c r="N656" s="295"/>
      <c r="P656" s="296"/>
      <c r="T656" s="292"/>
    </row>
    <row r="657" ht="12.75" customHeight="1">
      <c r="D657" s="293"/>
      <c r="E657" s="107"/>
      <c r="F657" s="294"/>
      <c r="G657" s="295"/>
      <c r="J657" s="296"/>
      <c r="K657" s="295"/>
      <c r="M657" s="296"/>
      <c r="N657" s="295"/>
      <c r="P657" s="296"/>
      <c r="T657" s="292"/>
    </row>
    <row r="658" ht="12.75" customHeight="1">
      <c r="D658" s="293"/>
      <c r="E658" s="107"/>
      <c r="F658" s="294"/>
      <c r="G658" s="295"/>
      <c r="J658" s="296"/>
      <c r="K658" s="295"/>
      <c r="M658" s="296"/>
      <c r="N658" s="295"/>
      <c r="P658" s="296"/>
      <c r="T658" s="292"/>
    </row>
    <row r="659" ht="12.75" customHeight="1">
      <c r="D659" s="293"/>
      <c r="E659" s="107"/>
      <c r="F659" s="294"/>
      <c r="G659" s="295"/>
      <c r="J659" s="296"/>
      <c r="K659" s="295"/>
      <c r="M659" s="296"/>
      <c r="N659" s="295"/>
      <c r="P659" s="296"/>
      <c r="T659" s="292"/>
    </row>
    <row r="660" ht="12.75" customHeight="1">
      <c r="D660" s="293"/>
      <c r="E660" s="107"/>
      <c r="F660" s="294"/>
      <c r="G660" s="295"/>
      <c r="J660" s="296"/>
      <c r="K660" s="295"/>
      <c r="M660" s="296"/>
      <c r="N660" s="295"/>
      <c r="P660" s="296"/>
      <c r="T660" s="292"/>
    </row>
    <row r="661" ht="12.75" customHeight="1">
      <c r="D661" s="293"/>
      <c r="E661" s="107"/>
      <c r="F661" s="294"/>
      <c r="G661" s="295"/>
      <c r="J661" s="296"/>
      <c r="K661" s="295"/>
      <c r="M661" s="296"/>
      <c r="N661" s="295"/>
      <c r="P661" s="296"/>
      <c r="T661" s="292"/>
    </row>
    <row r="662" ht="12.75" customHeight="1">
      <c r="D662" s="293"/>
      <c r="E662" s="107"/>
      <c r="F662" s="294"/>
      <c r="G662" s="295"/>
      <c r="J662" s="296"/>
      <c r="K662" s="295"/>
      <c r="M662" s="296"/>
      <c r="N662" s="295"/>
      <c r="P662" s="296"/>
      <c r="T662" s="292"/>
    </row>
    <row r="663" ht="12.75" customHeight="1">
      <c r="D663" s="293"/>
      <c r="E663" s="107"/>
      <c r="F663" s="294"/>
      <c r="G663" s="295"/>
      <c r="J663" s="296"/>
      <c r="K663" s="295"/>
      <c r="M663" s="296"/>
      <c r="N663" s="295"/>
      <c r="P663" s="296"/>
      <c r="T663" s="292"/>
    </row>
    <row r="664" ht="12.75" customHeight="1">
      <c r="D664" s="293"/>
      <c r="E664" s="107"/>
      <c r="F664" s="294"/>
      <c r="G664" s="295"/>
      <c r="J664" s="296"/>
      <c r="K664" s="295"/>
      <c r="M664" s="296"/>
      <c r="N664" s="295"/>
      <c r="P664" s="296"/>
      <c r="T664" s="292"/>
    </row>
    <row r="665" ht="12.75" customHeight="1">
      <c r="D665" s="293"/>
      <c r="E665" s="107"/>
      <c r="F665" s="294"/>
      <c r="G665" s="295"/>
      <c r="J665" s="296"/>
      <c r="K665" s="295"/>
      <c r="M665" s="296"/>
      <c r="N665" s="295"/>
      <c r="P665" s="296"/>
      <c r="T665" s="292"/>
    </row>
    <row r="666" ht="12.75" customHeight="1">
      <c r="D666" s="293"/>
      <c r="E666" s="107"/>
      <c r="F666" s="294"/>
      <c r="G666" s="295"/>
      <c r="J666" s="296"/>
      <c r="K666" s="295"/>
      <c r="M666" s="296"/>
      <c r="N666" s="295"/>
      <c r="P666" s="296"/>
      <c r="T666" s="292"/>
    </row>
    <row r="667" ht="12.75" customHeight="1">
      <c r="D667" s="293"/>
      <c r="E667" s="107"/>
      <c r="F667" s="294"/>
      <c r="G667" s="295"/>
      <c r="J667" s="296"/>
      <c r="K667" s="295"/>
      <c r="M667" s="296"/>
      <c r="N667" s="295"/>
      <c r="P667" s="296"/>
      <c r="T667" s="292"/>
    </row>
    <row r="668" ht="12.75" customHeight="1">
      <c r="D668" s="293"/>
      <c r="E668" s="107"/>
      <c r="F668" s="294"/>
      <c r="G668" s="295"/>
      <c r="J668" s="296"/>
      <c r="K668" s="295"/>
      <c r="M668" s="296"/>
      <c r="N668" s="295"/>
      <c r="P668" s="296"/>
      <c r="T668" s="292"/>
    </row>
    <row r="669" ht="12.75" customHeight="1">
      <c r="D669" s="293"/>
      <c r="E669" s="107"/>
      <c r="F669" s="294"/>
      <c r="G669" s="295"/>
      <c r="J669" s="296"/>
      <c r="K669" s="295"/>
      <c r="M669" s="296"/>
      <c r="N669" s="295"/>
      <c r="P669" s="296"/>
      <c r="T669" s="292"/>
    </row>
    <row r="670" ht="12.75" customHeight="1">
      <c r="D670" s="293"/>
      <c r="E670" s="107"/>
      <c r="F670" s="294"/>
      <c r="G670" s="295"/>
      <c r="J670" s="296"/>
      <c r="K670" s="295"/>
      <c r="M670" s="296"/>
      <c r="N670" s="295"/>
      <c r="P670" s="296"/>
      <c r="T670" s="292"/>
    </row>
    <row r="671" ht="12.75" customHeight="1">
      <c r="D671" s="293"/>
      <c r="E671" s="107"/>
      <c r="F671" s="294"/>
      <c r="G671" s="295"/>
      <c r="J671" s="296"/>
      <c r="K671" s="295"/>
      <c r="M671" s="296"/>
      <c r="N671" s="295"/>
      <c r="P671" s="296"/>
      <c r="T671" s="292"/>
    </row>
    <row r="672" ht="12.75" customHeight="1">
      <c r="D672" s="293"/>
      <c r="E672" s="107"/>
      <c r="F672" s="294"/>
      <c r="G672" s="295"/>
      <c r="J672" s="296"/>
      <c r="K672" s="295"/>
      <c r="M672" s="296"/>
      <c r="N672" s="295"/>
      <c r="P672" s="296"/>
      <c r="T672" s="292"/>
    </row>
    <row r="673" ht="12.75" customHeight="1">
      <c r="D673" s="293"/>
      <c r="E673" s="107"/>
      <c r="F673" s="294"/>
      <c r="G673" s="295"/>
      <c r="J673" s="296"/>
      <c r="K673" s="295"/>
      <c r="M673" s="296"/>
      <c r="N673" s="295"/>
      <c r="P673" s="296"/>
      <c r="T673" s="292"/>
    </row>
    <row r="674" ht="12.75" customHeight="1">
      <c r="D674" s="293"/>
      <c r="E674" s="107"/>
      <c r="F674" s="294"/>
      <c r="G674" s="295"/>
      <c r="J674" s="296"/>
      <c r="K674" s="295"/>
      <c r="M674" s="296"/>
      <c r="N674" s="295"/>
      <c r="P674" s="296"/>
      <c r="T674" s="292"/>
    </row>
    <row r="675" ht="12.75" customHeight="1">
      <c r="D675" s="293"/>
      <c r="E675" s="107"/>
      <c r="F675" s="294"/>
      <c r="G675" s="295"/>
      <c r="J675" s="296"/>
      <c r="K675" s="295"/>
      <c r="M675" s="296"/>
      <c r="N675" s="295"/>
      <c r="P675" s="296"/>
      <c r="T675" s="292"/>
    </row>
    <row r="676" ht="12.75" customHeight="1">
      <c r="D676" s="293"/>
      <c r="E676" s="107"/>
      <c r="F676" s="294"/>
      <c r="G676" s="295"/>
      <c r="J676" s="296"/>
      <c r="K676" s="295"/>
      <c r="M676" s="296"/>
      <c r="N676" s="295"/>
      <c r="P676" s="296"/>
      <c r="T676" s="292"/>
    </row>
    <row r="677" ht="12.75" customHeight="1">
      <c r="D677" s="293"/>
      <c r="E677" s="107"/>
      <c r="F677" s="294"/>
      <c r="G677" s="295"/>
      <c r="J677" s="296"/>
      <c r="K677" s="295"/>
      <c r="M677" s="296"/>
      <c r="N677" s="295"/>
      <c r="P677" s="296"/>
      <c r="T677" s="292"/>
    </row>
    <row r="678" ht="12.75" customHeight="1">
      <c r="D678" s="293"/>
      <c r="E678" s="107"/>
      <c r="F678" s="294"/>
      <c r="G678" s="295"/>
      <c r="J678" s="296"/>
      <c r="K678" s="295"/>
      <c r="M678" s="296"/>
      <c r="N678" s="295"/>
      <c r="P678" s="296"/>
      <c r="T678" s="292"/>
    </row>
    <row r="679" ht="12.75" customHeight="1">
      <c r="D679" s="293"/>
      <c r="E679" s="107"/>
      <c r="F679" s="294"/>
      <c r="G679" s="295"/>
      <c r="J679" s="296"/>
      <c r="K679" s="295"/>
      <c r="M679" s="296"/>
      <c r="N679" s="295"/>
      <c r="P679" s="296"/>
      <c r="T679" s="292"/>
    </row>
    <row r="680" ht="12.75" customHeight="1">
      <c r="D680" s="293"/>
      <c r="E680" s="107"/>
      <c r="F680" s="294"/>
      <c r="G680" s="295"/>
      <c r="J680" s="296"/>
      <c r="K680" s="295"/>
      <c r="M680" s="296"/>
      <c r="N680" s="295"/>
      <c r="P680" s="296"/>
      <c r="T680" s="292"/>
    </row>
    <row r="681" ht="12.75" customHeight="1">
      <c r="D681" s="293"/>
      <c r="E681" s="107"/>
      <c r="F681" s="294"/>
      <c r="G681" s="295"/>
      <c r="J681" s="296"/>
      <c r="K681" s="295"/>
      <c r="M681" s="296"/>
      <c r="N681" s="295"/>
      <c r="P681" s="296"/>
      <c r="T681" s="292"/>
    </row>
    <row r="682" ht="12.75" customHeight="1">
      <c r="D682" s="293"/>
      <c r="E682" s="107"/>
      <c r="F682" s="294"/>
      <c r="G682" s="295"/>
      <c r="J682" s="296"/>
      <c r="K682" s="295"/>
      <c r="M682" s="296"/>
      <c r="N682" s="295"/>
      <c r="P682" s="296"/>
      <c r="T682" s="292"/>
    </row>
    <row r="683" ht="12.75" customHeight="1">
      <c r="D683" s="293"/>
      <c r="E683" s="107"/>
      <c r="F683" s="294"/>
      <c r="G683" s="295"/>
      <c r="J683" s="296"/>
      <c r="K683" s="295"/>
      <c r="M683" s="296"/>
      <c r="N683" s="295"/>
      <c r="P683" s="296"/>
      <c r="T683" s="292"/>
    </row>
    <row r="684" ht="12.75" customHeight="1">
      <c r="D684" s="293"/>
      <c r="E684" s="107"/>
      <c r="F684" s="294"/>
      <c r="G684" s="295"/>
      <c r="J684" s="296"/>
      <c r="K684" s="295"/>
      <c r="M684" s="296"/>
      <c r="N684" s="295"/>
      <c r="P684" s="296"/>
      <c r="T684" s="292"/>
    </row>
    <row r="685" ht="12.75" customHeight="1">
      <c r="D685" s="293"/>
      <c r="E685" s="107"/>
      <c r="F685" s="294"/>
      <c r="G685" s="295"/>
      <c r="J685" s="296"/>
      <c r="K685" s="295"/>
      <c r="M685" s="296"/>
      <c r="N685" s="295"/>
      <c r="P685" s="296"/>
      <c r="T685" s="292"/>
    </row>
    <row r="686" ht="12.75" customHeight="1">
      <c r="D686" s="293"/>
      <c r="E686" s="107"/>
      <c r="F686" s="294"/>
      <c r="G686" s="295"/>
      <c r="J686" s="296"/>
      <c r="K686" s="295"/>
      <c r="M686" s="296"/>
      <c r="N686" s="295"/>
      <c r="P686" s="296"/>
      <c r="T686" s="292"/>
    </row>
    <row r="687" ht="12.75" customHeight="1">
      <c r="D687" s="293"/>
      <c r="E687" s="107"/>
      <c r="F687" s="294"/>
      <c r="G687" s="295"/>
      <c r="J687" s="296"/>
      <c r="K687" s="295"/>
      <c r="M687" s="296"/>
      <c r="N687" s="295"/>
      <c r="P687" s="296"/>
      <c r="T687" s="292"/>
    </row>
    <row r="688" ht="12.75" customHeight="1">
      <c r="D688" s="293"/>
      <c r="E688" s="107"/>
      <c r="F688" s="294"/>
      <c r="G688" s="295"/>
      <c r="J688" s="296"/>
      <c r="K688" s="295"/>
      <c r="M688" s="296"/>
      <c r="N688" s="295"/>
      <c r="P688" s="296"/>
      <c r="T688" s="292"/>
    </row>
    <row r="689" ht="12.75" customHeight="1">
      <c r="D689" s="293"/>
      <c r="E689" s="107"/>
      <c r="F689" s="294"/>
      <c r="G689" s="295"/>
      <c r="J689" s="296"/>
      <c r="K689" s="295"/>
      <c r="M689" s="296"/>
      <c r="N689" s="295"/>
      <c r="P689" s="296"/>
      <c r="T689" s="292"/>
    </row>
    <row r="690" ht="12.75" customHeight="1">
      <c r="D690" s="293"/>
      <c r="E690" s="107"/>
      <c r="F690" s="294"/>
      <c r="G690" s="295"/>
      <c r="J690" s="296"/>
      <c r="K690" s="295"/>
      <c r="M690" s="296"/>
      <c r="N690" s="295"/>
      <c r="P690" s="296"/>
      <c r="T690" s="292"/>
    </row>
    <row r="691" ht="12.75" customHeight="1">
      <c r="D691" s="293"/>
      <c r="E691" s="107"/>
      <c r="F691" s="294"/>
      <c r="G691" s="295"/>
      <c r="J691" s="296"/>
      <c r="K691" s="295"/>
      <c r="M691" s="296"/>
      <c r="N691" s="295"/>
      <c r="P691" s="296"/>
      <c r="T691" s="292"/>
    </row>
    <row r="692" ht="12.75" customHeight="1">
      <c r="D692" s="293"/>
      <c r="E692" s="107"/>
      <c r="F692" s="294"/>
      <c r="G692" s="295"/>
      <c r="J692" s="296"/>
      <c r="K692" s="295"/>
      <c r="M692" s="296"/>
      <c r="N692" s="295"/>
      <c r="P692" s="296"/>
      <c r="T692" s="292"/>
    </row>
    <row r="693" ht="12.75" customHeight="1">
      <c r="D693" s="293"/>
      <c r="E693" s="107"/>
      <c r="F693" s="294"/>
      <c r="G693" s="295"/>
      <c r="J693" s="296"/>
      <c r="K693" s="295"/>
      <c r="M693" s="296"/>
      <c r="N693" s="295"/>
      <c r="P693" s="296"/>
      <c r="T693" s="292"/>
    </row>
    <row r="694" ht="12.75" customHeight="1">
      <c r="D694" s="293"/>
      <c r="E694" s="107"/>
      <c r="F694" s="294"/>
      <c r="G694" s="295"/>
      <c r="J694" s="296"/>
      <c r="K694" s="295"/>
      <c r="M694" s="296"/>
      <c r="N694" s="295"/>
      <c r="P694" s="296"/>
      <c r="T694" s="292"/>
    </row>
    <row r="695" ht="12.75" customHeight="1">
      <c r="D695" s="293"/>
      <c r="E695" s="107"/>
      <c r="F695" s="294"/>
      <c r="G695" s="295"/>
      <c r="J695" s="296"/>
      <c r="K695" s="295"/>
      <c r="M695" s="296"/>
      <c r="N695" s="295"/>
      <c r="P695" s="296"/>
      <c r="T695" s="292"/>
    </row>
    <row r="696" ht="12.75" customHeight="1">
      <c r="D696" s="293"/>
      <c r="E696" s="107"/>
      <c r="F696" s="294"/>
      <c r="G696" s="295"/>
      <c r="J696" s="296"/>
      <c r="K696" s="295"/>
      <c r="M696" s="296"/>
      <c r="N696" s="295"/>
      <c r="P696" s="296"/>
      <c r="T696" s="292"/>
    </row>
    <row r="697" ht="12.75" customHeight="1">
      <c r="D697" s="293"/>
      <c r="E697" s="107"/>
      <c r="F697" s="294"/>
      <c r="G697" s="295"/>
      <c r="J697" s="296"/>
      <c r="K697" s="295"/>
      <c r="M697" s="296"/>
      <c r="N697" s="295"/>
      <c r="P697" s="296"/>
      <c r="T697" s="292"/>
    </row>
    <row r="698" ht="12.75" customHeight="1">
      <c r="D698" s="293"/>
      <c r="E698" s="107"/>
      <c r="F698" s="294"/>
      <c r="G698" s="295"/>
      <c r="J698" s="296"/>
      <c r="K698" s="295"/>
      <c r="M698" s="296"/>
      <c r="N698" s="295"/>
      <c r="P698" s="296"/>
      <c r="T698" s="292"/>
    </row>
    <row r="699" ht="12.75" customHeight="1">
      <c r="D699" s="293"/>
      <c r="E699" s="107"/>
      <c r="F699" s="294"/>
      <c r="G699" s="295"/>
      <c r="J699" s="296"/>
      <c r="K699" s="295"/>
      <c r="M699" s="296"/>
      <c r="N699" s="295"/>
      <c r="P699" s="296"/>
      <c r="T699" s="292"/>
    </row>
    <row r="700" ht="12.75" customHeight="1">
      <c r="D700" s="293"/>
      <c r="E700" s="107"/>
      <c r="F700" s="294"/>
      <c r="G700" s="295"/>
      <c r="J700" s="296"/>
      <c r="K700" s="295"/>
      <c r="M700" s="296"/>
      <c r="N700" s="295"/>
      <c r="P700" s="296"/>
      <c r="T700" s="292"/>
    </row>
    <row r="701" ht="12.75" customHeight="1">
      <c r="D701" s="293"/>
      <c r="E701" s="107"/>
      <c r="F701" s="294"/>
      <c r="G701" s="295"/>
      <c r="J701" s="296"/>
      <c r="K701" s="295"/>
      <c r="M701" s="296"/>
      <c r="N701" s="295"/>
      <c r="P701" s="296"/>
      <c r="T701" s="292"/>
    </row>
    <row r="702" ht="12.75" customHeight="1">
      <c r="D702" s="293"/>
      <c r="E702" s="107"/>
      <c r="F702" s="294"/>
      <c r="G702" s="295"/>
      <c r="J702" s="296"/>
      <c r="K702" s="295"/>
      <c r="M702" s="296"/>
      <c r="N702" s="295"/>
      <c r="P702" s="296"/>
      <c r="T702" s="292"/>
    </row>
    <row r="703" ht="12.75" customHeight="1">
      <c r="D703" s="293"/>
      <c r="E703" s="107"/>
      <c r="F703" s="294"/>
      <c r="G703" s="295"/>
      <c r="J703" s="296"/>
      <c r="K703" s="295"/>
      <c r="M703" s="296"/>
      <c r="N703" s="295"/>
      <c r="P703" s="296"/>
      <c r="T703" s="292"/>
    </row>
    <row r="704" ht="12.75" customHeight="1">
      <c r="D704" s="293"/>
      <c r="E704" s="107"/>
      <c r="F704" s="294"/>
      <c r="G704" s="295"/>
      <c r="J704" s="296"/>
      <c r="K704" s="295"/>
      <c r="M704" s="296"/>
      <c r="N704" s="295"/>
      <c r="P704" s="296"/>
      <c r="T704" s="292"/>
    </row>
    <row r="705" ht="12.75" customHeight="1">
      <c r="D705" s="293"/>
      <c r="E705" s="107"/>
      <c r="F705" s="294"/>
      <c r="G705" s="295"/>
      <c r="J705" s="296"/>
      <c r="K705" s="295"/>
      <c r="M705" s="296"/>
      <c r="N705" s="295"/>
      <c r="P705" s="296"/>
      <c r="T705" s="292"/>
    </row>
    <row r="706" ht="12.75" customHeight="1">
      <c r="D706" s="293"/>
      <c r="E706" s="107"/>
      <c r="F706" s="294"/>
      <c r="G706" s="295"/>
      <c r="J706" s="296"/>
      <c r="K706" s="295"/>
      <c r="M706" s="296"/>
      <c r="N706" s="295"/>
      <c r="P706" s="296"/>
      <c r="T706" s="292"/>
    </row>
    <row r="707" ht="12.75" customHeight="1">
      <c r="D707" s="293"/>
      <c r="E707" s="107"/>
      <c r="F707" s="294"/>
      <c r="G707" s="295"/>
      <c r="J707" s="296"/>
      <c r="K707" s="295"/>
      <c r="M707" s="296"/>
      <c r="N707" s="295"/>
      <c r="P707" s="296"/>
      <c r="T707" s="292"/>
    </row>
    <row r="708" ht="12.75" customHeight="1">
      <c r="D708" s="293"/>
      <c r="E708" s="107"/>
      <c r="F708" s="294"/>
      <c r="G708" s="295"/>
      <c r="J708" s="296"/>
      <c r="K708" s="295"/>
      <c r="M708" s="296"/>
      <c r="N708" s="295"/>
      <c r="P708" s="296"/>
      <c r="T708" s="292"/>
    </row>
    <row r="709" ht="12.75" customHeight="1">
      <c r="D709" s="293"/>
      <c r="E709" s="107"/>
      <c r="F709" s="294"/>
      <c r="G709" s="295"/>
      <c r="J709" s="296"/>
      <c r="K709" s="295"/>
      <c r="M709" s="296"/>
      <c r="N709" s="295"/>
      <c r="P709" s="296"/>
      <c r="T709" s="292"/>
    </row>
    <row r="710" ht="12.75" customHeight="1">
      <c r="D710" s="293"/>
      <c r="E710" s="107"/>
      <c r="F710" s="294"/>
      <c r="G710" s="295"/>
      <c r="J710" s="296"/>
      <c r="K710" s="295"/>
      <c r="M710" s="296"/>
      <c r="N710" s="295"/>
      <c r="P710" s="296"/>
      <c r="T710" s="292"/>
    </row>
    <row r="711" ht="12.75" customHeight="1">
      <c r="D711" s="293"/>
      <c r="E711" s="107"/>
      <c r="F711" s="294"/>
      <c r="G711" s="295"/>
      <c r="J711" s="296"/>
      <c r="K711" s="295"/>
      <c r="M711" s="296"/>
      <c r="N711" s="295"/>
      <c r="P711" s="296"/>
      <c r="T711" s="292"/>
    </row>
    <row r="712" ht="12.75" customHeight="1">
      <c r="D712" s="293"/>
      <c r="E712" s="107"/>
      <c r="F712" s="294"/>
      <c r="G712" s="295"/>
      <c r="J712" s="296"/>
      <c r="K712" s="295"/>
      <c r="M712" s="296"/>
      <c r="N712" s="295"/>
      <c r="P712" s="296"/>
      <c r="T712" s="292"/>
    </row>
    <row r="713" ht="12.75" customHeight="1">
      <c r="D713" s="293"/>
      <c r="E713" s="107"/>
      <c r="F713" s="294"/>
      <c r="G713" s="295"/>
      <c r="J713" s="296"/>
      <c r="K713" s="295"/>
      <c r="M713" s="296"/>
      <c r="N713" s="295"/>
      <c r="P713" s="296"/>
      <c r="T713" s="292"/>
    </row>
    <row r="714" ht="12.75" customHeight="1">
      <c r="D714" s="293"/>
      <c r="E714" s="107"/>
      <c r="F714" s="294"/>
      <c r="G714" s="295"/>
      <c r="J714" s="296"/>
      <c r="K714" s="295"/>
      <c r="M714" s="296"/>
      <c r="N714" s="295"/>
      <c r="P714" s="296"/>
      <c r="T714" s="292"/>
    </row>
    <row r="715" ht="12.75" customHeight="1">
      <c r="D715" s="293"/>
      <c r="E715" s="107"/>
      <c r="F715" s="294"/>
      <c r="G715" s="295"/>
      <c r="J715" s="296"/>
      <c r="K715" s="295"/>
      <c r="M715" s="296"/>
      <c r="N715" s="295"/>
      <c r="P715" s="296"/>
      <c r="T715" s="292"/>
    </row>
    <row r="716" ht="12.75" customHeight="1">
      <c r="D716" s="293"/>
      <c r="E716" s="107"/>
      <c r="F716" s="294"/>
      <c r="G716" s="295"/>
      <c r="J716" s="296"/>
      <c r="K716" s="295"/>
      <c r="M716" s="296"/>
      <c r="N716" s="295"/>
      <c r="P716" s="296"/>
      <c r="T716" s="292"/>
    </row>
    <row r="717" ht="12.75" customHeight="1">
      <c r="D717" s="293"/>
      <c r="E717" s="107"/>
      <c r="F717" s="294"/>
      <c r="G717" s="295"/>
      <c r="J717" s="296"/>
      <c r="K717" s="295"/>
      <c r="M717" s="296"/>
      <c r="N717" s="295"/>
      <c r="P717" s="296"/>
      <c r="T717" s="292"/>
    </row>
    <row r="718" ht="12.75" customHeight="1">
      <c r="D718" s="293"/>
      <c r="E718" s="107"/>
      <c r="F718" s="294"/>
      <c r="G718" s="295"/>
      <c r="J718" s="296"/>
      <c r="K718" s="295"/>
      <c r="M718" s="296"/>
      <c r="N718" s="295"/>
      <c r="P718" s="296"/>
      <c r="T718" s="292"/>
    </row>
    <row r="719" ht="12.75" customHeight="1">
      <c r="D719" s="293"/>
      <c r="E719" s="107"/>
      <c r="F719" s="294"/>
      <c r="G719" s="295"/>
      <c r="J719" s="296"/>
      <c r="K719" s="295"/>
      <c r="M719" s="296"/>
      <c r="N719" s="295"/>
      <c r="P719" s="296"/>
      <c r="T719" s="292"/>
    </row>
    <row r="720" ht="12.75" customHeight="1">
      <c r="D720" s="293"/>
      <c r="E720" s="107"/>
      <c r="F720" s="294"/>
      <c r="G720" s="295"/>
      <c r="J720" s="296"/>
      <c r="K720" s="295"/>
      <c r="M720" s="296"/>
      <c r="N720" s="295"/>
      <c r="P720" s="296"/>
      <c r="T720" s="292"/>
    </row>
    <row r="721" ht="12.75" customHeight="1">
      <c r="D721" s="293"/>
      <c r="E721" s="107"/>
      <c r="F721" s="294"/>
      <c r="G721" s="295"/>
      <c r="J721" s="296"/>
      <c r="K721" s="295"/>
      <c r="M721" s="296"/>
      <c r="N721" s="295"/>
      <c r="P721" s="296"/>
      <c r="T721" s="292"/>
    </row>
    <row r="722" ht="12.75" customHeight="1">
      <c r="D722" s="293"/>
      <c r="E722" s="107"/>
      <c r="F722" s="294"/>
      <c r="G722" s="295"/>
      <c r="J722" s="296"/>
      <c r="K722" s="295"/>
      <c r="M722" s="296"/>
      <c r="N722" s="295"/>
      <c r="P722" s="296"/>
      <c r="T722" s="292"/>
    </row>
    <row r="723" ht="12.75" customHeight="1">
      <c r="D723" s="293"/>
      <c r="E723" s="107"/>
      <c r="F723" s="294"/>
      <c r="G723" s="295"/>
      <c r="J723" s="296"/>
      <c r="K723" s="295"/>
      <c r="M723" s="296"/>
      <c r="N723" s="295"/>
      <c r="P723" s="296"/>
      <c r="T723" s="292"/>
    </row>
    <row r="724" ht="12.75" customHeight="1">
      <c r="D724" s="293"/>
      <c r="E724" s="107"/>
      <c r="F724" s="294"/>
      <c r="G724" s="295"/>
      <c r="J724" s="296"/>
      <c r="K724" s="295"/>
      <c r="M724" s="296"/>
      <c r="N724" s="295"/>
      <c r="P724" s="296"/>
      <c r="T724" s="292"/>
    </row>
    <row r="725" ht="12.75" customHeight="1">
      <c r="D725" s="293"/>
      <c r="E725" s="107"/>
      <c r="F725" s="294"/>
      <c r="G725" s="295"/>
      <c r="J725" s="296"/>
      <c r="K725" s="295"/>
      <c r="M725" s="296"/>
      <c r="N725" s="295"/>
      <c r="P725" s="296"/>
      <c r="T725" s="292"/>
    </row>
    <row r="726" ht="12.75" customHeight="1">
      <c r="D726" s="293"/>
      <c r="E726" s="107"/>
      <c r="F726" s="294"/>
      <c r="G726" s="295"/>
      <c r="J726" s="296"/>
      <c r="K726" s="295"/>
      <c r="M726" s="296"/>
      <c r="N726" s="295"/>
      <c r="P726" s="296"/>
      <c r="T726" s="292"/>
    </row>
    <row r="727" ht="12.75" customHeight="1">
      <c r="D727" s="293"/>
      <c r="E727" s="107"/>
      <c r="F727" s="294"/>
      <c r="G727" s="295"/>
      <c r="J727" s="296"/>
      <c r="K727" s="295"/>
      <c r="M727" s="296"/>
      <c r="N727" s="295"/>
      <c r="P727" s="296"/>
      <c r="T727" s="292"/>
    </row>
    <row r="728" ht="12.75" customHeight="1">
      <c r="D728" s="293"/>
      <c r="E728" s="107"/>
      <c r="F728" s="294"/>
      <c r="G728" s="295"/>
      <c r="J728" s="296"/>
      <c r="K728" s="295"/>
      <c r="M728" s="296"/>
      <c r="N728" s="295"/>
      <c r="P728" s="296"/>
      <c r="T728" s="292"/>
    </row>
    <row r="729" ht="12.75" customHeight="1">
      <c r="D729" s="293"/>
      <c r="E729" s="107"/>
      <c r="F729" s="294"/>
      <c r="G729" s="295"/>
      <c r="J729" s="296"/>
      <c r="K729" s="295"/>
      <c r="M729" s="296"/>
      <c r="N729" s="295"/>
      <c r="P729" s="296"/>
      <c r="T729" s="292"/>
    </row>
    <row r="730" ht="12.75" customHeight="1">
      <c r="D730" s="293"/>
      <c r="E730" s="107"/>
      <c r="F730" s="294"/>
      <c r="G730" s="295"/>
      <c r="J730" s="296"/>
      <c r="K730" s="295"/>
      <c r="M730" s="296"/>
      <c r="N730" s="295"/>
      <c r="P730" s="296"/>
      <c r="T730" s="292"/>
    </row>
    <row r="731" ht="12.75" customHeight="1">
      <c r="D731" s="293"/>
      <c r="E731" s="107"/>
      <c r="F731" s="294"/>
      <c r="G731" s="295"/>
      <c r="J731" s="296"/>
      <c r="K731" s="295"/>
      <c r="M731" s="296"/>
      <c r="N731" s="295"/>
      <c r="P731" s="296"/>
      <c r="T731" s="292"/>
    </row>
    <row r="732" ht="12.75" customHeight="1">
      <c r="D732" s="293"/>
      <c r="E732" s="107"/>
      <c r="F732" s="294"/>
      <c r="G732" s="295"/>
      <c r="J732" s="296"/>
      <c r="K732" s="295"/>
      <c r="M732" s="296"/>
      <c r="N732" s="295"/>
      <c r="P732" s="296"/>
      <c r="T732" s="292"/>
    </row>
    <row r="733" ht="12.75" customHeight="1">
      <c r="D733" s="293"/>
      <c r="E733" s="107"/>
      <c r="F733" s="294"/>
      <c r="G733" s="295"/>
      <c r="J733" s="296"/>
      <c r="K733" s="295"/>
      <c r="M733" s="296"/>
      <c r="N733" s="295"/>
      <c r="P733" s="296"/>
      <c r="T733" s="292"/>
    </row>
    <row r="734" ht="12.75" customHeight="1">
      <c r="D734" s="293"/>
      <c r="E734" s="107"/>
      <c r="F734" s="294"/>
      <c r="G734" s="295"/>
      <c r="J734" s="296"/>
      <c r="K734" s="295"/>
      <c r="M734" s="296"/>
      <c r="N734" s="295"/>
      <c r="P734" s="296"/>
      <c r="T734" s="292"/>
    </row>
    <row r="735" ht="12.75" customHeight="1">
      <c r="D735" s="293"/>
      <c r="E735" s="107"/>
      <c r="F735" s="294"/>
      <c r="G735" s="295"/>
      <c r="J735" s="296"/>
      <c r="K735" s="295"/>
      <c r="M735" s="296"/>
      <c r="N735" s="295"/>
      <c r="P735" s="296"/>
      <c r="T735" s="292"/>
    </row>
    <row r="736" ht="12.75" customHeight="1">
      <c r="D736" s="293"/>
      <c r="E736" s="107"/>
      <c r="F736" s="294"/>
      <c r="G736" s="295"/>
      <c r="J736" s="296"/>
      <c r="K736" s="295"/>
      <c r="M736" s="296"/>
      <c r="N736" s="295"/>
      <c r="P736" s="296"/>
      <c r="T736" s="292"/>
    </row>
    <row r="737" ht="12.75" customHeight="1">
      <c r="D737" s="293"/>
      <c r="E737" s="107"/>
      <c r="F737" s="294"/>
      <c r="G737" s="295"/>
      <c r="J737" s="296"/>
      <c r="K737" s="295"/>
      <c r="M737" s="296"/>
      <c r="N737" s="295"/>
      <c r="P737" s="296"/>
      <c r="T737" s="292"/>
    </row>
    <row r="738" ht="12.75" customHeight="1">
      <c r="D738" s="293"/>
      <c r="E738" s="107"/>
      <c r="F738" s="294"/>
      <c r="G738" s="295"/>
      <c r="J738" s="296"/>
      <c r="K738" s="295"/>
      <c r="M738" s="296"/>
      <c r="N738" s="295"/>
      <c r="P738" s="296"/>
      <c r="T738" s="292"/>
    </row>
    <row r="739" ht="12.75" customHeight="1">
      <c r="D739" s="293"/>
      <c r="E739" s="107"/>
      <c r="F739" s="294"/>
      <c r="G739" s="295"/>
      <c r="J739" s="296"/>
      <c r="K739" s="295"/>
      <c r="M739" s="296"/>
      <c r="N739" s="295"/>
      <c r="P739" s="296"/>
      <c r="T739" s="292"/>
    </row>
    <row r="740" ht="12.75" customHeight="1">
      <c r="D740" s="293"/>
      <c r="E740" s="107"/>
      <c r="F740" s="294"/>
      <c r="G740" s="295"/>
      <c r="J740" s="296"/>
      <c r="K740" s="295"/>
      <c r="M740" s="296"/>
      <c r="N740" s="295"/>
      <c r="P740" s="296"/>
      <c r="T740" s="292"/>
    </row>
    <row r="741" ht="12.75" customHeight="1">
      <c r="D741" s="293"/>
      <c r="E741" s="107"/>
      <c r="F741" s="294"/>
      <c r="G741" s="295"/>
      <c r="J741" s="296"/>
      <c r="K741" s="295"/>
      <c r="M741" s="296"/>
      <c r="N741" s="295"/>
      <c r="P741" s="296"/>
      <c r="T741" s="292"/>
    </row>
    <row r="742" ht="12.75" customHeight="1">
      <c r="D742" s="293"/>
      <c r="E742" s="107"/>
      <c r="F742" s="294"/>
      <c r="G742" s="295"/>
      <c r="J742" s="296"/>
      <c r="K742" s="295"/>
      <c r="M742" s="296"/>
      <c r="N742" s="295"/>
      <c r="P742" s="296"/>
      <c r="T742" s="292"/>
    </row>
    <row r="743" ht="12.75" customHeight="1">
      <c r="D743" s="293"/>
      <c r="E743" s="107"/>
      <c r="F743" s="294"/>
      <c r="G743" s="295"/>
      <c r="J743" s="296"/>
      <c r="K743" s="295"/>
      <c r="M743" s="296"/>
      <c r="N743" s="295"/>
      <c r="P743" s="296"/>
      <c r="T743" s="292"/>
    </row>
    <row r="744" ht="12.75" customHeight="1">
      <c r="D744" s="293"/>
      <c r="E744" s="107"/>
      <c r="F744" s="294"/>
      <c r="G744" s="295"/>
      <c r="J744" s="296"/>
      <c r="K744" s="295"/>
      <c r="M744" s="296"/>
      <c r="N744" s="295"/>
      <c r="P744" s="296"/>
      <c r="T744" s="292"/>
    </row>
    <row r="745" ht="12.75" customHeight="1">
      <c r="D745" s="293"/>
      <c r="E745" s="107"/>
      <c r="F745" s="294"/>
      <c r="G745" s="295"/>
      <c r="J745" s="296"/>
      <c r="K745" s="295"/>
      <c r="M745" s="296"/>
      <c r="N745" s="295"/>
      <c r="P745" s="296"/>
      <c r="T745" s="292"/>
    </row>
    <row r="746" ht="12.75" customHeight="1">
      <c r="D746" s="293"/>
      <c r="E746" s="107"/>
      <c r="F746" s="294"/>
      <c r="G746" s="295"/>
      <c r="J746" s="296"/>
      <c r="K746" s="295"/>
      <c r="M746" s="296"/>
      <c r="N746" s="295"/>
      <c r="P746" s="296"/>
      <c r="T746" s="292"/>
    </row>
    <row r="747" ht="12.75" customHeight="1">
      <c r="D747" s="293"/>
      <c r="E747" s="107"/>
      <c r="F747" s="294"/>
      <c r="G747" s="295"/>
      <c r="J747" s="296"/>
      <c r="K747" s="295"/>
      <c r="M747" s="296"/>
      <c r="N747" s="295"/>
      <c r="P747" s="296"/>
      <c r="T747" s="292"/>
    </row>
    <row r="748" ht="12.75" customHeight="1">
      <c r="D748" s="293"/>
      <c r="E748" s="107"/>
      <c r="F748" s="294"/>
      <c r="G748" s="295"/>
      <c r="J748" s="296"/>
      <c r="K748" s="295"/>
      <c r="M748" s="296"/>
      <c r="N748" s="295"/>
      <c r="P748" s="296"/>
      <c r="T748" s="292"/>
    </row>
    <row r="749" ht="12.75" customHeight="1">
      <c r="D749" s="293"/>
      <c r="E749" s="107"/>
      <c r="F749" s="294"/>
      <c r="G749" s="295"/>
      <c r="J749" s="296"/>
      <c r="K749" s="295"/>
      <c r="M749" s="296"/>
      <c r="N749" s="295"/>
      <c r="P749" s="296"/>
      <c r="T749" s="292"/>
    </row>
    <row r="750" ht="12.75" customHeight="1">
      <c r="D750" s="293"/>
      <c r="E750" s="107"/>
      <c r="F750" s="294"/>
      <c r="G750" s="295"/>
      <c r="J750" s="296"/>
      <c r="K750" s="295"/>
      <c r="M750" s="296"/>
      <c r="N750" s="295"/>
      <c r="P750" s="296"/>
      <c r="T750" s="292"/>
    </row>
    <row r="751" ht="12.75" customHeight="1">
      <c r="D751" s="293"/>
      <c r="E751" s="107"/>
      <c r="F751" s="294"/>
      <c r="G751" s="295"/>
      <c r="J751" s="296"/>
      <c r="K751" s="295"/>
      <c r="M751" s="296"/>
      <c r="N751" s="295"/>
      <c r="P751" s="296"/>
      <c r="T751" s="292"/>
    </row>
    <row r="752" ht="12.75" customHeight="1">
      <c r="D752" s="293"/>
      <c r="E752" s="107"/>
      <c r="F752" s="294"/>
      <c r="G752" s="295"/>
      <c r="J752" s="296"/>
      <c r="K752" s="295"/>
      <c r="M752" s="296"/>
      <c r="N752" s="295"/>
      <c r="P752" s="296"/>
      <c r="T752" s="292"/>
    </row>
    <row r="753" ht="12.75" customHeight="1">
      <c r="D753" s="293"/>
      <c r="E753" s="107"/>
      <c r="F753" s="294"/>
      <c r="G753" s="295"/>
      <c r="J753" s="296"/>
      <c r="K753" s="295"/>
      <c r="M753" s="296"/>
      <c r="N753" s="295"/>
      <c r="P753" s="296"/>
      <c r="T753" s="292"/>
    </row>
    <row r="754" ht="12.75" customHeight="1">
      <c r="D754" s="293"/>
      <c r="E754" s="107"/>
      <c r="F754" s="294"/>
      <c r="G754" s="295"/>
      <c r="J754" s="296"/>
      <c r="K754" s="295"/>
      <c r="M754" s="296"/>
      <c r="N754" s="295"/>
      <c r="P754" s="296"/>
      <c r="T754" s="292"/>
    </row>
    <row r="755" ht="12.75" customHeight="1">
      <c r="D755" s="293"/>
      <c r="E755" s="107"/>
      <c r="F755" s="294"/>
      <c r="G755" s="295"/>
      <c r="J755" s="296"/>
      <c r="K755" s="295"/>
      <c r="M755" s="296"/>
      <c r="N755" s="295"/>
      <c r="P755" s="296"/>
      <c r="T755" s="292"/>
    </row>
    <row r="756" ht="12.75" customHeight="1">
      <c r="D756" s="293"/>
      <c r="E756" s="107"/>
      <c r="F756" s="294"/>
      <c r="G756" s="295"/>
      <c r="J756" s="296"/>
      <c r="K756" s="295"/>
      <c r="M756" s="296"/>
      <c r="N756" s="295"/>
      <c r="P756" s="296"/>
      <c r="T756" s="292"/>
    </row>
    <row r="757" ht="12.75" customHeight="1">
      <c r="D757" s="293"/>
      <c r="E757" s="107"/>
      <c r="F757" s="294"/>
      <c r="G757" s="295"/>
      <c r="J757" s="296"/>
      <c r="K757" s="295"/>
      <c r="M757" s="296"/>
      <c r="N757" s="295"/>
      <c r="P757" s="296"/>
      <c r="T757" s="292"/>
    </row>
    <row r="758" ht="12.75" customHeight="1">
      <c r="D758" s="293"/>
      <c r="E758" s="107"/>
      <c r="F758" s="294"/>
      <c r="G758" s="295"/>
      <c r="J758" s="296"/>
      <c r="K758" s="295"/>
      <c r="M758" s="296"/>
      <c r="N758" s="295"/>
      <c r="P758" s="296"/>
      <c r="T758" s="292"/>
    </row>
    <row r="759" ht="12.75" customHeight="1">
      <c r="D759" s="293"/>
      <c r="E759" s="107"/>
      <c r="F759" s="294"/>
      <c r="G759" s="295"/>
      <c r="J759" s="296"/>
      <c r="K759" s="295"/>
      <c r="M759" s="296"/>
      <c r="N759" s="295"/>
      <c r="P759" s="296"/>
      <c r="T759" s="292"/>
    </row>
    <row r="760" ht="12.75" customHeight="1">
      <c r="D760" s="293"/>
      <c r="E760" s="107"/>
      <c r="F760" s="294"/>
      <c r="G760" s="295"/>
      <c r="J760" s="296"/>
      <c r="K760" s="295"/>
      <c r="M760" s="296"/>
      <c r="N760" s="295"/>
      <c r="P760" s="296"/>
      <c r="T760" s="292"/>
    </row>
    <row r="761" ht="12.75" customHeight="1">
      <c r="D761" s="293"/>
      <c r="E761" s="107"/>
      <c r="F761" s="294"/>
      <c r="G761" s="295"/>
      <c r="J761" s="296"/>
      <c r="K761" s="295"/>
      <c r="M761" s="296"/>
      <c r="N761" s="295"/>
      <c r="P761" s="296"/>
      <c r="T761" s="292"/>
    </row>
    <row r="762" ht="12.75" customHeight="1">
      <c r="D762" s="293"/>
      <c r="E762" s="107"/>
      <c r="F762" s="294"/>
      <c r="G762" s="295"/>
      <c r="J762" s="296"/>
      <c r="K762" s="295"/>
      <c r="M762" s="296"/>
      <c r="N762" s="295"/>
      <c r="P762" s="296"/>
      <c r="T762" s="292"/>
    </row>
    <row r="763" ht="12.75" customHeight="1">
      <c r="D763" s="293"/>
      <c r="E763" s="107"/>
      <c r="F763" s="294"/>
      <c r="G763" s="295"/>
      <c r="J763" s="296"/>
      <c r="K763" s="295"/>
      <c r="M763" s="296"/>
      <c r="N763" s="295"/>
      <c r="P763" s="296"/>
      <c r="T763" s="292"/>
    </row>
    <row r="764" ht="12.75" customHeight="1">
      <c r="D764" s="293"/>
      <c r="E764" s="107"/>
      <c r="F764" s="294"/>
      <c r="G764" s="295"/>
      <c r="J764" s="296"/>
      <c r="K764" s="295"/>
      <c r="M764" s="296"/>
      <c r="N764" s="295"/>
      <c r="P764" s="296"/>
      <c r="T764" s="292"/>
    </row>
    <row r="765" ht="12.75" customHeight="1">
      <c r="D765" s="293"/>
      <c r="E765" s="107"/>
      <c r="F765" s="294"/>
      <c r="G765" s="295"/>
      <c r="J765" s="296"/>
      <c r="K765" s="295"/>
      <c r="M765" s="296"/>
      <c r="N765" s="295"/>
      <c r="P765" s="296"/>
      <c r="T765" s="292"/>
    </row>
    <row r="766" ht="12.75" customHeight="1">
      <c r="D766" s="293"/>
      <c r="E766" s="107"/>
      <c r="F766" s="294"/>
      <c r="G766" s="295"/>
      <c r="J766" s="296"/>
      <c r="K766" s="295"/>
      <c r="M766" s="296"/>
      <c r="N766" s="295"/>
      <c r="P766" s="296"/>
      <c r="T766" s="292"/>
    </row>
    <row r="767" ht="12.75" customHeight="1">
      <c r="D767" s="293"/>
      <c r="E767" s="107"/>
      <c r="F767" s="294"/>
      <c r="G767" s="295"/>
      <c r="J767" s="296"/>
      <c r="K767" s="295"/>
      <c r="M767" s="296"/>
      <c r="N767" s="295"/>
      <c r="P767" s="296"/>
      <c r="T767" s="292"/>
    </row>
    <row r="768" ht="12.75" customHeight="1">
      <c r="D768" s="293"/>
      <c r="E768" s="107"/>
      <c r="F768" s="294"/>
      <c r="G768" s="295"/>
      <c r="J768" s="296"/>
      <c r="K768" s="295"/>
      <c r="M768" s="296"/>
      <c r="N768" s="295"/>
      <c r="P768" s="296"/>
      <c r="T768" s="292"/>
    </row>
    <row r="769" ht="12.75" customHeight="1">
      <c r="D769" s="293"/>
      <c r="E769" s="107"/>
      <c r="F769" s="294"/>
      <c r="G769" s="295"/>
      <c r="J769" s="296"/>
      <c r="K769" s="295"/>
      <c r="M769" s="296"/>
      <c r="N769" s="295"/>
      <c r="P769" s="296"/>
      <c r="T769" s="292"/>
    </row>
    <row r="770" ht="12.75" customHeight="1">
      <c r="D770" s="293"/>
      <c r="E770" s="107"/>
      <c r="F770" s="294"/>
      <c r="G770" s="295"/>
      <c r="J770" s="296"/>
      <c r="K770" s="295"/>
      <c r="M770" s="296"/>
      <c r="N770" s="295"/>
      <c r="P770" s="296"/>
      <c r="T770" s="292"/>
    </row>
    <row r="771" ht="12.75" customHeight="1">
      <c r="D771" s="293"/>
      <c r="E771" s="107"/>
      <c r="F771" s="294"/>
      <c r="G771" s="295"/>
      <c r="J771" s="296"/>
      <c r="K771" s="295"/>
      <c r="M771" s="296"/>
      <c r="N771" s="295"/>
      <c r="P771" s="296"/>
      <c r="T771" s="292"/>
    </row>
    <row r="772" ht="12.75" customHeight="1">
      <c r="D772" s="293"/>
      <c r="E772" s="107"/>
      <c r="F772" s="294"/>
      <c r="G772" s="295"/>
      <c r="J772" s="296"/>
      <c r="K772" s="295"/>
      <c r="M772" s="296"/>
      <c r="N772" s="295"/>
      <c r="P772" s="296"/>
      <c r="T772" s="292"/>
    </row>
    <row r="773" ht="12.75" customHeight="1">
      <c r="D773" s="293"/>
      <c r="E773" s="107"/>
      <c r="F773" s="294"/>
      <c r="G773" s="295"/>
      <c r="J773" s="296"/>
      <c r="K773" s="295"/>
      <c r="M773" s="296"/>
      <c r="N773" s="295"/>
      <c r="P773" s="296"/>
      <c r="T773" s="292"/>
    </row>
    <row r="774" ht="12.75" customHeight="1">
      <c r="D774" s="293"/>
      <c r="E774" s="107"/>
      <c r="F774" s="294"/>
      <c r="G774" s="295"/>
      <c r="J774" s="296"/>
      <c r="K774" s="295"/>
      <c r="M774" s="296"/>
      <c r="N774" s="295"/>
      <c r="P774" s="296"/>
      <c r="T774" s="292"/>
    </row>
    <row r="775" ht="12.75" customHeight="1">
      <c r="D775" s="293"/>
      <c r="E775" s="107"/>
      <c r="F775" s="294"/>
      <c r="G775" s="295"/>
      <c r="J775" s="296"/>
      <c r="K775" s="295"/>
      <c r="M775" s="296"/>
      <c r="N775" s="295"/>
      <c r="P775" s="296"/>
      <c r="T775" s="292"/>
    </row>
    <row r="776" ht="12.75" customHeight="1">
      <c r="D776" s="293"/>
      <c r="E776" s="107"/>
      <c r="F776" s="294"/>
      <c r="G776" s="295"/>
      <c r="J776" s="296"/>
      <c r="K776" s="295"/>
      <c r="M776" s="296"/>
      <c r="N776" s="295"/>
      <c r="P776" s="296"/>
      <c r="T776" s="292"/>
    </row>
    <row r="777" ht="12.75" customHeight="1">
      <c r="D777" s="293"/>
      <c r="E777" s="107"/>
      <c r="F777" s="294"/>
      <c r="G777" s="295"/>
      <c r="J777" s="296"/>
      <c r="K777" s="295"/>
      <c r="M777" s="296"/>
      <c r="N777" s="295"/>
      <c r="P777" s="296"/>
      <c r="T777" s="292"/>
    </row>
    <row r="778" ht="12.75" customHeight="1">
      <c r="D778" s="293"/>
      <c r="E778" s="107"/>
      <c r="F778" s="294"/>
      <c r="G778" s="295"/>
      <c r="J778" s="296"/>
      <c r="K778" s="295"/>
      <c r="M778" s="296"/>
      <c r="N778" s="295"/>
      <c r="P778" s="296"/>
      <c r="T778" s="292"/>
    </row>
    <row r="779" ht="12.75" customHeight="1">
      <c r="D779" s="293"/>
      <c r="E779" s="107"/>
      <c r="F779" s="294"/>
      <c r="G779" s="295"/>
      <c r="J779" s="296"/>
      <c r="K779" s="295"/>
      <c r="M779" s="296"/>
      <c r="N779" s="295"/>
      <c r="P779" s="296"/>
      <c r="T779" s="292"/>
    </row>
    <row r="780" ht="12.75" customHeight="1">
      <c r="D780" s="293"/>
      <c r="E780" s="107"/>
      <c r="F780" s="294"/>
      <c r="G780" s="295"/>
      <c r="J780" s="296"/>
      <c r="K780" s="295"/>
      <c r="M780" s="296"/>
      <c r="N780" s="295"/>
      <c r="P780" s="296"/>
      <c r="T780" s="292"/>
    </row>
    <row r="781" ht="12.75" customHeight="1">
      <c r="D781" s="293"/>
      <c r="E781" s="107"/>
      <c r="F781" s="294"/>
      <c r="G781" s="295"/>
      <c r="J781" s="296"/>
      <c r="K781" s="295"/>
      <c r="M781" s="296"/>
      <c r="N781" s="295"/>
      <c r="P781" s="296"/>
      <c r="T781" s="292"/>
    </row>
    <row r="782" ht="12.75" customHeight="1">
      <c r="D782" s="293"/>
      <c r="E782" s="107"/>
      <c r="F782" s="294"/>
      <c r="G782" s="295"/>
      <c r="J782" s="296"/>
      <c r="K782" s="295"/>
      <c r="M782" s="296"/>
      <c r="N782" s="295"/>
      <c r="P782" s="296"/>
      <c r="T782" s="292"/>
    </row>
    <row r="783" ht="12.75" customHeight="1">
      <c r="D783" s="293"/>
      <c r="E783" s="107"/>
      <c r="F783" s="294"/>
      <c r="G783" s="295"/>
      <c r="J783" s="296"/>
      <c r="K783" s="295"/>
      <c r="M783" s="296"/>
      <c r="N783" s="295"/>
      <c r="P783" s="296"/>
      <c r="T783" s="292"/>
    </row>
    <row r="784" ht="12.75" customHeight="1">
      <c r="D784" s="293"/>
      <c r="E784" s="107"/>
      <c r="F784" s="294"/>
      <c r="G784" s="295"/>
      <c r="J784" s="296"/>
      <c r="K784" s="295"/>
      <c r="M784" s="296"/>
      <c r="N784" s="295"/>
      <c r="P784" s="296"/>
      <c r="T784" s="292"/>
    </row>
    <row r="785" ht="12.75" customHeight="1">
      <c r="D785" s="293"/>
      <c r="E785" s="107"/>
      <c r="F785" s="294"/>
      <c r="G785" s="295"/>
      <c r="J785" s="296"/>
      <c r="K785" s="295"/>
      <c r="M785" s="296"/>
      <c r="N785" s="295"/>
      <c r="P785" s="296"/>
      <c r="T785" s="292"/>
    </row>
    <row r="786" ht="12.75" customHeight="1">
      <c r="D786" s="293"/>
      <c r="E786" s="107"/>
      <c r="F786" s="294"/>
      <c r="G786" s="295"/>
      <c r="J786" s="296"/>
      <c r="K786" s="295"/>
      <c r="M786" s="296"/>
      <c r="N786" s="295"/>
      <c r="P786" s="296"/>
      <c r="T786" s="292"/>
    </row>
    <row r="787" ht="12.75" customHeight="1">
      <c r="D787" s="293"/>
      <c r="E787" s="107"/>
      <c r="F787" s="294"/>
      <c r="G787" s="295"/>
      <c r="J787" s="296"/>
      <c r="K787" s="295"/>
      <c r="M787" s="296"/>
      <c r="N787" s="295"/>
      <c r="P787" s="296"/>
      <c r="T787" s="292"/>
    </row>
    <row r="788" ht="12.75" customHeight="1">
      <c r="D788" s="293"/>
      <c r="E788" s="107"/>
      <c r="F788" s="294"/>
      <c r="G788" s="295"/>
      <c r="J788" s="296"/>
      <c r="K788" s="295"/>
      <c r="M788" s="296"/>
      <c r="N788" s="295"/>
      <c r="P788" s="296"/>
      <c r="T788" s="292"/>
    </row>
    <row r="789" ht="12.75" customHeight="1">
      <c r="D789" s="293"/>
      <c r="E789" s="107"/>
      <c r="F789" s="294"/>
      <c r="G789" s="295"/>
      <c r="J789" s="296"/>
      <c r="K789" s="295"/>
      <c r="M789" s="296"/>
      <c r="N789" s="295"/>
      <c r="P789" s="296"/>
      <c r="T789" s="292"/>
    </row>
    <row r="790" ht="12.75" customHeight="1">
      <c r="D790" s="293"/>
      <c r="E790" s="107"/>
      <c r="F790" s="294"/>
      <c r="G790" s="295"/>
      <c r="J790" s="296"/>
      <c r="K790" s="295"/>
      <c r="M790" s="296"/>
      <c r="N790" s="295"/>
      <c r="P790" s="296"/>
      <c r="T790" s="292"/>
    </row>
    <row r="791" ht="12.75" customHeight="1">
      <c r="D791" s="293"/>
      <c r="E791" s="107"/>
      <c r="F791" s="294"/>
      <c r="G791" s="295"/>
      <c r="J791" s="296"/>
      <c r="K791" s="295"/>
      <c r="M791" s="296"/>
      <c r="N791" s="295"/>
      <c r="P791" s="296"/>
      <c r="T791" s="292"/>
    </row>
    <row r="792" ht="12.75" customHeight="1">
      <c r="D792" s="293"/>
      <c r="E792" s="107"/>
      <c r="F792" s="294"/>
      <c r="G792" s="295"/>
      <c r="J792" s="296"/>
      <c r="K792" s="295"/>
      <c r="M792" s="296"/>
      <c r="N792" s="295"/>
      <c r="P792" s="296"/>
      <c r="T792" s="292"/>
    </row>
    <row r="793" ht="12.75" customHeight="1">
      <c r="D793" s="293"/>
      <c r="E793" s="107"/>
      <c r="F793" s="294"/>
      <c r="G793" s="295"/>
      <c r="J793" s="296"/>
      <c r="K793" s="295"/>
      <c r="M793" s="296"/>
      <c r="N793" s="295"/>
      <c r="P793" s="296"/>
      <c r="T793" s="292"/>
    </row>
    <row r="794" ht="12.75" customHeight="1">
      <c r="D794" s="293"/>
      <c r="E794" s="107"/>
      <c r="F794" s="294"/>
      <c r="G794" s="295"/>
      <c r="J794" s="296"/>
      <c r="K794" s="295"/>
      <c r="M794" s="296"/>
      <c r="N794" s="295"/>
      <c r="P794" s="296"/>
      <c r="T794" s="292"/>
    </row>
    <row r="795" ht="12.75" customHeight="1">
      <c r="D795" s="293"/>
      <c r="E795" s="107"/>
      <c r="F795" s="294"/>
      <c r="G795" s="295"/>
      <c r="J795" s="296"/>
      <c r="K795" s="295"/>
      <c r="M795" s="296"/>
      <c r="N795" s="295"/>
      <c r="P795" s="296"/>
      <c r="T795" s="292"/>
    </row>
    <row r="796" ht="12.75" customHeight="1">
      <c r="D796" s="293"/>
      <c r="E796" s="107"/>
      <c r="F796" s="294"/>
      <c r="G796" s="295"/>
      <c r="J796" s="296"/>
      <c r="K796" s="295"/>
      <c r="M796" s="296"/>
      <c r="N796" s="295"/>
      <c r="P796" s="296"/>
      <c r="T796" s="292"/>
    </row>
    <row r="797" ht="12.75" customHeight="1">
      <c r="D797" s="293"/>
      <c r="E797" s="107"/>
      <c r="F797" s="294"/>
      <c r="G797" s="295"/>
      <c r="J797" s="296"/>
      <c r="K797" s="295"/>
      <c r="M797" s="296"/>
      <c r="N797" s="295"/>
      <c r="P797" s="296"/>
      <c r="T797" s="292"/>
    </row>
    <row r="798" ht="12.75" customHeight="1">
      <c r="D798" s="293"/>
      <c r="E798" s="107"/>
      <c r="F798" s="294"/>
      <c r="G798" s="295"/>
      <c r="J798" s="296"/>
      <c r="K798" s="295"/>
      <c r="M798" s="296"/>
      <c r="N798" s="295"/>
      <c r="P798" s="296"/>
      <c r="T798" s="292"/>
    </row>
    <row r="799" ht="12.75" customHeight="1">
      <c r="D799" s="293"/>
      <c r="E799" s="107"/>
      <c r="F799" s="294"/>
      <c r="G799" s="295"/>
      <c r="J799" s="296"/>
      <c r="K799" s="295"/>
      <c r="M799" s="296"/>
      <c r="N799" s="295"/>
      <c r="P799" s="296"/>
      <c r="T799" s="292"/>
    </row>
    <row r="800" ht="12.75" customHeight="1">
      <c r="D800" s="293"/>
      <c r="E800" s="107"/>
      <c r="F800" s="294"/>
      <c r="G800" s="295"/>
      <c r="J800" s="296"/>
      <c r="K800" s="295"/>
      <c r="M800" s="296"/>
      <c r="N800" s="295"/>
      <c r="P800" s="296"/>
      <c r="T800" s="292"/>
    </row>
    <row r="801" ht="12.75" customHeight="1">
      <c r="D801" s="293"/>
      <c r="E801" s="107"/>
      <c r="F801" s="294"/>
      <c r="G801" s="295"/>
      <c r="J801" s="296"/>
      <c r="K801" s="295"/>
      <c r="M801" s="296"/>
      <c r="N801" s="295"/>
      <c r="P801" s="296"/>
      <c r="T801" s="292"/>
    </row>
    <row r="802" ht="12.75" customHeight="1">
      <c r="D802" s="293"/>
      <c r="E802" s="107"/>
      <c r="F802" s="294"/>
      <c r="G802" s="295"/>
      <c r="J802" s="296"/>
      <c r="K802" s="295"/>
      <c r="M802" s="296"/>
      <c r="N802" s="295"/>
      <c r="P802" s="296"/>
      <c r="T802" s="292"/>
    </row>
    <row r="803" ht="12.75" customHeight="1">
      <c r="D803" s="293"/>
      <c r="E803" s="107"/>
      <c r="F803" s="294"/>
      <c r="G803" s="295"/>
      <c r="J803" s="296"/>
      <c r="K803" s="295"/>
      <c r="M803" s="296"/>
      <c r="N803" s="295"/>
      <c r="P803" s="296"/>
      <c r="T803" s="292"/>
    </row>
    <row r="804" ht="12.75" customHeight="1">
      <c r="D804" s="293"/>
      <c r="E804" s="107"/>
      <c r="F804" s="294"/>
      <c r="G804" s="295"/>
      <c r="J804" s="296"/>
      <c r="K804" s="295"/>
      <c r="M804" s="296"/>
      <c r="N804" s="295"/>
      <c r="P804" s="296"/>
      <c r="T804" s="292"/>
    </row>
    <row r="805" ht="12.75" customHeight="1">
      <c r="D805" s="293"/>
      <c r="E805" s="107"/>
      <c r="F805" s="294"/>
      <c r="G805" s="295"/>
      <c r="J805" s="296"/>
      <c r="K805" s="295"/>
      <c r="M805" s="296"/>
      <c r="N805" s="295"/>
      <c r="P805" s="296"/>
      <c r="T805" s="292"/>
    </row>
    <row r="806" ht="12.75" customHeight="1">
      <c r="D806" s="293"/>
      <c r="E806" s="107"/>
      <c r="F806" s="294"/>
      <c r="G806" s="295"/>
      <c r="J806" s="296"/>
      <c r="K806" s="295"/>
      <c r="M806" s="296"/>
      <c r="N806" s="295"/>
      <c r="P806" s="296"/>
      <c r="T806" s="292"/>
    </row>
    <row r="807" ht="12.75" customHeight="1">
      <c r="D807" s="293"/>
      <c r="E807" s="107"/>
      <c r="F807" s="294"/>
      <c r="G807" s="295"/>
      <c r="J807" s="296"/>
      <c r="K807" s="295"/>
      <c r="M807" s="296"/>
      <c r="N807" s="295"/>
      <c r="P807" s="296"/>
      <c r="T807" s="292"/>
    </row>
    <row r="808" ht="12.75" customHeight="1">
      <c r="D808" s="293"/>
      <c r="E808" s="107"/>
      <c r="F808" s="294"/>
      <c r="G808" s="295"/>
      <c r="J808" s="296"/>
      <c r="K808" s="295"/>
      <c r="M808" s="296"/>
      <c r="N808" s="295"/>
      <c r="P808" s="296"/>
      <c r="T808" s="292"/>
    </row>
    <row r="809" ht="12.75" customHeight="1">
      <c r="D809" s="293"/>
      <c r="E809" s="107"/>
      <c r="F809" s="294"/>
      <c r="G809" s="295"/>
      <c r="J809" s="296"/>
      <c r="K809" s="295"/>
      <c r="M809" s="296"/>
      <c r="N809" s="295"/>
      <c r="P809" s="296"/>
      <c r="T809" s="292"/>
    </row>
    <row r="810" ht="12.75" customHeight="1">
      <c r="D810" s="293"/>
      <c r="E810" s="107"/>
      <c r="F810" s="294"/>
      <c r="G810" s="295"/>
      <c r="J810" s="296"/>
      <c r="K810" s="295"/>
      <c r="M810" s="296"/>
      <c r="N810" s="295"/>
      <c r="P810" s="296"/>
      <c r="T810" s="292"/>
    </row>
    <row r="811" ht="12.75" customHeight="1">
      <c r="D811" s="293"/>
      <c r="E811" s="107"/>
      <c r="F811" s="294"/>
      <c r="G811" s="295"/>
      <c r="J811" s="296"/>
      <c r="K811" s="295"/>
      <c r="M811" s="296"/>
      <c r="N811" s="295"/>
      <c r="P811" s="296"/>
      <c r="T811" s="292"/>
    </row>
    <row r="812" ht="12.75" customHeight="1">
      <c r="D812" s="293"/>
      <c r="E812" s="107"/>
      <c r="F812" s="294"/>
      <c r="G812" s="295"/>
      <c r="J812" s="296"/>
      <c r="K812" s="295"/>
      <c r="M812" s="296"/>
      <c r="N812" s="295"/>
      <c r="P812" s="296"/>
      <c r="T812" s="292"/>
    </row>
    <row r="813" ht="12.75" customHeight="1">
      <c r="D813" s="293"/>
      <c r="E813" s="107"/>
      <c r="F813" s="294"/>
      <c r="G813" s="295"/>
      <c r="J813" s="296"/>
      <c r="K813" s="295"/>
      <c r="M813" s="296"/>
      <c r="N813" s="295"/>
      <c r="P813" s="296"/>
      <c r="T813" s="292"/>
    </row>
    <row r="814" ht="12.75" customHeight="1">
      <c r="D814" s="293"/>
      <c r="E814" s="107"/>
      <c r="F814" s="294"/>
      <c r="G814" s="295"/>
      <c r="J814" s="296"/>
      <c r="K814" s="295"/>
      <c r="M814" s="296"/>
      <c r="N814" s="295"/>
      <c r="P814" s="296"/>
      <c r="T814" s="292"/>
    </row>
    <row r="815" ht="12.75" customHeight="1">
      <c r="D815" s="293"/>
      <c r="E815" s="107"/>
      <c r="F815" s="294"/>
      <c r="G815" s="295"/>
      <c r="J815" s="296"/>
      <c r="K815" s="295"/>
      <c r="M815" s="296"/>
      <c r="N815" s="295"/>
      <c r="P815" s="296"/>
      <c r="T815" s="292"/>
    </row>
    <row r="816" ht="12.75" customHeight="1">
      <c r="D816" s="293"/>
      <c r="E816" s="107"/>
      <c r="F816" s="294"/>
      <c r="G816" s="295"/>
      <c r="J816" s="296"/>
      <c r="K816" s="295"/>
      <c r="M816" s="296"/>
      <c r="N816" s="295"/>
      <c r="P816" s="296"/>
      <c r="T816" s="292"/>
    </row>
    <row r="817" ht="12.75" customHeight="1">
      <c r="D817" s="293"/>
      <c r="E817" s="107"/>
      <c r="F817" s="294"/>
      <c r="G817" s="295"/>
      <c r="J817" s="296"/>
      <c r="K817" s="295"/>
      <c r="M817" s="296"/>
      <c r="N817" s="295"/>
      <c r="P817" s="296"/>
      <c r="T817" s="292"/>
    </row>
    <row r="818" ht="12.75" customHeight="1">
      <c r="D818" s="293"/>
      <c r="E818" s="107"/>
      <c r="F818" s="294"/>
      <c r="G818" s="295"/>
      <c r="J818" s="296"/>
      <c r="K818" s="295"/>
      <c r="M818" s="296"/>
      <c r="N818" s="295"/>
      <c r="P818" s="296"/>
      <c r="T818" s="292"/>
    </row>
    <row r="819" ht="12.75" customHeight="1">
      <c r="D819" s="293"/>
      <c r="E819" s="107"/>
      <c r="F819" s="294"/>
      <c r="G819" s="295"/>
      <c r="J819" s="296"/>
      <c r="K819" s="295"/>
      <c r="M819" s="296"/>
      <c r="N819" s="295"/>
      <c r="P819" s="296"/>
      <c r="T819" s="292"/>
    </row>
    <row r="820" ht="12.75" customHeight="1">
      <c r="D820" s="293"/>
      <c r="E820" s="107"/>
      <c r="F820" s="294"/>
      <c r="G820" s="295"/>
      <c r="J820" s="296"/>
      <c r="K820" s="295"/>
      <c r="M820" s="296"/>
      <c r="N820" s="295"/>
      <c r="P820" s="296"/>
      <c r="T820" s="292"/>
    </row>
    <row r="821" ht="12.75" customHeight="1">
      <c r="D821" s="293"/>
      <c r="E821" s="107"/>
      <c r="F821" s="294"/>
      <c r="G821" s="295"/>
      <c r="J821" s="296"/>
      <c r="K821" s="295"/>
      <c r="M821" s="296"/>
      <c r="N821" s="295"/>
      <c r="P821" s="296"/>
      <c r="T821" s="292"/>
    </row>
    <row r="822" ht="12.75" customHeight="1">
      <c r="D822" s="293"/>
      <c r="E822" s="107"/>
      <c r="F822" s="294"/>
      <c r="G822" s="295"/>
      <c r="J822" s="296"/>
      <c r="K822" s="295"/>
      <c r="M822" s="296"/>
      <c r="N822" s="295"/>
      <c r="P822" s="296"/>
      <c r="T822" s="292"/>
    </row>
    <row r="823" ht="12.75" customHeight="1">
      <c r="D823" s="293"/>
      <c r="E823" s="107"/>
      <c r="F823" s="294"/>
      <c r="G823" s="295"/>
      <c r="J823" s="296"/>
      <c r="K823" s="295"/>
      <c r="M823" s="296"/>
      <c r="N823" s="295"/>
      <c r="P823" s="296"/>
      <c r="T823" s="292"/>
    </row>
    <row r="824" ht="12.75" customHeight="1">
      <c r="D824" s="293"/>
      <c r="E824" s="107"/>
      <c r="F824" s="294"/>
      <c r="G824" s="295"/>
      <c r="J824" s="296"/>
      <c r="K824" s="295"/>
      <c r="M824" s="296"/>
      <c r="N824" s="295"/>
      <c r="P824" s="296"/>
      <c r="T824" s="292"/>
    </row>
    <row r="825" ht="12.75" customHeight="1">
      <c r="D825" s="293"/>
      <c r="E825" s="107"/>
      <c r="F825" s="294"/>
      <c r="G825" s="295"/>
      <c r="J825" s="296"/>
      <c r="K825" s="295"/>
      <c r="M825" s="296"/>
      <c r="N825" s="295"/>
      <c r="P825" s="296"/>
      <c r="T825" s="292"/>
    </row>
    <row r="826" ht="12.75" customHeight="1">
      <c r="D826" s="293"/>
      <c r="E826" s="107"/>
      <c r="F826" s="294"/>
      <c r="G826" s="295"/>
      <c r="J826" s="296"/>
      <c r="K826" s="295"/>
      <c r="M826" s="296"/>
      <c r="N826" s="295"/>
      <c r="P826" s="296"/>
      <c r="T826" s="292"/>
    </row>
    <row r="827" ht="12.75" customHeight="1">
      <c r="D827" s="293"/>
      <c r="E827" s="107"/>
      <c r="F827" s="294"/>
      <c r="G827" s="295"/>
      <c r="J827" s="296"/>
      <c r="K827" s="295"/>
      <c r="M827" s="296"/>
      <c r="N827" s="295"/>
      <c r="P827" s="296"/>
      <c r="T827" s="292"/>
    </row>
    <row r="828" ht="12.75" customHeight="1">
      <c r="D828" s="293"/>
      <c r="E828" s="107"/>
      <c r="F828" s="294"/>
      <c r="G828" s="295"/>
      <c r="J828" s="296"/>
      <c r="K828" s="295"/>
      <c r="M828" s="296"/>
      <c r="N828" s="295"/>
      <c r="P828" s="296"/>
      <c r="T828" s="292"/>
    </row>
    <row r="829" ht="12.75" customHeight="1">
      <c r="D829" s="293"/>
      <c r="E829" s="107"/>
      <c r="F829" s="294"/>
      <c r="G829" s="295"/>
      <c r="J829" s="296"/>
      <c r="K829" s="295"/>
      <c r="M829" s="296"/>
      <c r="N829" s="295"/>
      <c r="P829" s="296"/>
      <c r="T829" s="292"/>
    </row>
    <row r="830" ht="12.75" customHeight="1">
      <c r="D830" s="293"/>
      <c r="E830" s="107"/>
      <c r="F830" s="294"/>
      <c r="G830" s="295"/>
      <c r="J830" s="296"/>
      <c r="K830" s="295"/>
      <c r="M830" s="296"/>
      <c r="N830" s="295"/>
      <c r="P830" s="296"/>
      <c r="T830" s="292"/>
    </row>
    <row r="831" ht="12.75" customHeight="1">
      <c r="D831" s="293"/>
      <c r="E831" s="107"/>
      <c r="F831" s="294"/>
      <c r="G831" s="295"/>
      <c r="J831" s="296"/>
      <c r="K831" s="295"/>
      <c r="M831" s="296"/>
      <c r="N831" s="295"/>
      <c r="P831" s="296"/>
      <c r="T831" s="292"/>
    </row>
    <row r="832" ht="12.75" customHeight="1">
      <c r="D832" s="293"/>
      <c r="E832" s="107"/>
      <c r="F832" s="294"/>
      <c r="G832" s="295"/>
      <c r="J832" s="296"/>
      <c r="K832" s="295"/>
      <c r="M832" s="296"/>
      <c r="N832" s="295"/>
      <c r="P832" s="296"/>
      <c r="T832" s="292"/>
    </row>
    <row r="833" ht="12.75" customHeight="1">
      <c r="D833" s="293"/>
      <c r="E833" s="107"/>
      <c r="F833" s="294"/>
      <c r="G833" s="295"/>
      <c r="J833" s="296"/>
      <c r="K833" s="295"/>
      <c r="M833" s="296"/>
      <c r="N833" s="295"/>
      <c r="P833" s="296"/>
      <c r="T833" s="292"/>
    </row>
    <row r="834" ht="12.75" customHeight="1">
      <c r="D834" s="293"/>
      <c r="E834" s="107"/>
      <c r="F834" s="294"/>
      <c r="G834" s="295"/>
      <c r="J834" s="296"/>
      <c r="K834" s="295"/>
      <c r="M834" s="296"/>
      <c r="N834" s="295"/>
      <c r="P834" s="296"/>
      <c r="T834" s="292"/>
    </row>
    <row r="835" ht="12.75" customHeight="1">
      <c r="D835" s="293"/>
      <c r="E835" s="107"/>
      <c r="F835" s="294"/>
      <c r="G835" s="295"/>
      <c r="J835" s="296"/>
      <c r="K835" s="295"/>
      <c r="M835" s="296"/>
      <c r="N835" s="295"/>
      <c r="P835" s="296"/>
      <c r="T835" s="292"/>
    </row>
    <row r="836" ht="12.75" customHeight="1">
      <c r="D836" s="293"/>
      <c r="E836" s="107"/>
      <c r="F836" s="294"/>
      <c r="G836" s="295"/>
      <c r="J836" s="296"/>
      <c r="K836" s="295"/>
      <c r="M836" s="296"/>
      <c r="N836" s="295"/>
      <c r="P836" s="296"/>
      <c r="T836" s="292"/>
    </row>
    <row r="837" ht="12.75" customHeight="1">
      <c r="D837" s="293"/>
      <c r="E837" s="107"/>
      <c r="F837" s="294"/>
      <c r="G837" s="295"/>
      <c r="J837" s="296"/>
      <c r="K837" s="295"/>
      <c r="M837" s="296"/>
      <c r="N837" s="295"/>
      <c r="P837" s="296"/>
      <c r="T837" s="292"/>
    </row>
    <row r="838" ht="12.75" customHeight="1">
      <c r="D838" s="293"/>
      <c r="E838" s="107"/>
      <c r="F838" s="294"/>
      <c r="G838" s="295"/>
      <c r="J838" s="296"/>
      <c r="K838" s="295"/>
      <c r="M838" s="296"/>
      <c r="N838" s="295"/>
      <c r="P838" s="296"/>
      <c r="T838" s="292"/>
    </row>
    <row r="839" ht="12.75" customHeight="1">
      <c r="D839" s="293"/>
      <c r="E839" s="107"/>
      <c r="F839" s="294"/>
      <c r="G839" s="295"/>
      <c r="J839" s="296"/>
      <c r="K839" s="295"/>
      <c r="M839" s="296"/>
      <c r="N839" s="295"/>
      <c r="P839" s="296"/>
      <c r="T839" s="292"/>
    </row>
    <row r="840" ht="12.75" customHeight="1">
      <c r="D840" s="293"/>
      <c r="E840" s="107"/>
      <c r="F840" s="294"/>
      <c r="G840" s="295"/>
      <c r="J840" s="296"/>
      <c r="K840" s="295"/>
      <c r="M840" s="296"/>
      <c r="N840" s="295"/>
      <c r="P840" s="296"/>
      <c r="T840" s="292"/>
    </row>
    <row r="841" ht="12.75" customHeight="1">
      <c r="D841" s="293"/>
      <c r="E841" s="107"/>
      <c r="F841" s="294"/>
      <c r="G841" s="295"/>
      <c r="J841" s="296"/>
      <c r="K841" s="295"/>
      <c r="M841" s="296"/>
      <c r="N841" s="295"/>
      <c r="P841" s="296"/>
      <c r="T841" s="292"/>
    </row>
    <row r="842" ht="12.75" customHeight="1">
      <c r="D842" s="293"/>
      <c r="E842" s="107"/>
      <c r="F842" s="294"/>
      <c r="G842" s="295"/>
      <c r="J842" s="296"/>
      <c r="K842" s="295"/>
      <c r="M842" s="296"/>
      <c r="N842" s="295"/>
      <c r="P842" s="296"/>
      <c r="T842" s="292"/>
    </row>
    <row r="843" ht="12.75" customHeight="1">
      <c r="D843" s="293"/>
      <c r="E843" s="107"/>
      <c r="F843" s="294"/>
      <c r="G843" s="295"/>
      <c r="J843" s="296"/>
      <c r="K843" s="295"/>
      <c r="M843" s="296"/>
      <c r="N843" s="295"/>
      <c r="P843" s="296"/>
      <c r="T843" s="292"/>
    </row>
    <row r="844" ht="12.75" customHeight="1">
      <c r="D844" s="293"/>
      <c r="E844" s="107"/>
      <c r="F844" s="294"/>
      <c r="G844" s="295"/>
      <c r="J844" s="296"/>
      <c r="K844" s="295"/>
      <c r="M844" s="296"/>
      <c r="N844" s="295"/>
      <c r="P844" s="296"/>
      <c r="T844" s="292"/>
    </row>
    <row r="845" ht="12.75" customHeight="1">
      <c r="D845" s="293"/>
      <c r="E845" s="107"/>
      <c r="F845" s="294"/>
      <c r="G845" s="295"/>
      <c r="J845" s="296"/>
      <c r="K845" s="295"/>
      <c r="M845" s="296"/>
      <c r="N845" s="295"/>
      <c r="P845" s="296"/>
      <c r="T845" s="292"/>
    </row>
    <row r="846" ht="12.75" customHeight="1">
      <c r="D846" s="293"/>
      <c r="E846" s="107"/>
      <c r="F846" s="294"/>
      <c r="G846" s="295"/>
      <c r="J846" s="296"/>
      <c r="K846" s="295"/>
      <c r="M846" s="296"/>
      <c r="N846" s="295"/>
      <c r="P846" s="296"/>
      <c r="T846" s="292"/>
    </row>
    <row r="847" ht="12.75" customHeight="1">
      <c r="D847" s="293"/>
      <c r="E847" s="107"/>
      <c r="F847" s="294"/>
      <c r="G847" s="295"/>
      <c r="J847" s="296"/>
      <c r="K847" s="295"/>
      <c r="M847" s="296"/>
      <c r="N847" s="295"/>
      <c r="P847" s="296"/>
      <c r="T847" s="292"/>
    </row>
    <row r="848" ht="12.75" customHeight="1">
      <c r="D848" s="293"/>
      <c r="E848" s="107"/>
      <c r="F848" s="294"/>
      <c r="G848" s="295"/>
      <c r="J848" s="296"/>
      <c r="K848" s="295"/>
      <c r="M848" s="296"/>
      <c r="N848" s="295"/>
      <c r="P848" s="296"/>
      <c r="T848" s="292"/>
    </row>
    <row r="849" ht="12.75" customHeight="1">
      <c r="D849" s="293"/>
      <c r="E849" s="107"/>
      <c r="F849" s="294"/>
      <c r="G849" s="295"/>
      <c r="J849" s="296"/>
      <c r="K849" s="295"/>
      <c r="M849" s="296"/>
      <c r="N849" s="295"/>
      <c r="P849" s="296"/>
      <c r="T849" s="292"/>
    </row>
    <row r="850" ht="12.75" customHeight="1">
      <c r="D850" s="293"/>
      <c r="E850" s="107"/>
      <c r="F850" s="294"/>
      <c r="G850" s="295"/>
      <c r="J850" s="296"/>
      <c r="K850" s="295"/>
      <c r="M850" s="296"/>
      <c r="N850" s="295"/>
      <c r="P850" s="296"/>
      <c r="T850" s="292"/>
    </row>
    <row r="851" ht="12.75" customHeight="1">
      <c r="D851" s="293"/>
      <c r="E851" s="107"/>
      <c r="F851" s="294"/>
      <c r="G851" s="295"/>
      <c r="J851" s="296"/>
      <c r="K851" s="295"/>
      <c r="M851" s="296"/>
      <c r="N851" s="295"/>
      <c r="P851" s="296"/>
      <c r="T851" s="292"/>
    </row>
    <row r="852" ht="12.75" customHeight="1">
      <c r="D852" s="293"/>
      <c r="E852" s="107"/>
      <c r="F852" s="294"/>
      <c r="G852" s="295"/>
      <c r="J852" s="296"/>
      <c r="K852" s="295"/>
      <c r="M852" s="296"/>
      <c r="N852" s="295"/>
      <c r="P852" s="296"/>
      <c r="T852" s="292"/>
    </row>
    <row r="853" ht="12.75" customHeight="1">
      <c r="D853" s="293"/>
      <c r="E853" s="107"/>
      <c r="F853" s="294"/>
      <c r="G853" s="295"/>
      <c r="J853" s="296"/>
      <c r="K853" s="295"/>
      <c r="M853" s="296"/>
      <c r="N853" s="295"/>
      <c r="P853" s="296"/>
      <c r="T853" s="292"/>
    </row>
    <row r="854" ht="12.75" customHeight="1">
      <c r="D854" s="293"/>
      <c r="E854" s="107"/>
      <c r="F854" s="294"/>
      <c r="G854" s="295"/>
      <c r="J854" s="296"/>
      <c r="K854" s="295"/>
      <c r="M854" s="296"/>
      <c r="N854" s="295"/>
      <c r="P854" s="296"/>
      <c r="T854" s="292"/>
    </row>
    <row r="855" ht="12.75" customHeight="1">
      <c r="D855" s="293"/>
      <c r="E855" s="107"/>
      <c r="F855" s="294"/>
      <c r="G855" s="295"/>
      <c r="J855" s="296"/>
      <c r="K855" s="295"/>
      <c r="M855" s="296"/>
      <c r="N855" s="295"/>
      <c r="P855" s="296"/>
      <c r="T855" s="292"/>
    </row>
    <row r="856" ht="12.75" customHeight="1">
      <c r="D856" s="293"/>
      <c r="E856" s="107"/>
      <c r="F856" s="294"/>
      <c r="G856" s="295"/>
      <c r="J856" s="296"/>
      <c r="K856" s="295"/>
      <c r="M856" s="296"/>
      <c r="N856" s="295"/>
      <c r="P856" s="296"/>
      <c r="T856" s="292"/>
    </row>
    <row r="857" ht="12.75" customHeight="1">
      <c r="D857" s="293"/>
      <c r="E857" s="107"/>
      <c r="F857" s="294"/>
      <c r="G857" s="295"/>
      <c r="J857" s="296"/>
      <c r="K857" s="295"/>
      <c r="M857" s="296"/>
      <c r="N857" s="295"/>
      <c r="P857" s="296"/>
      <c r="T857" s="292"/>
    </row>
    <row r="858" ht="12.75" customHeight="1">
      <c r="D858" s="293"/>
      <c r="E858" s="107"/>
      <c r="F858" s="294"/>
      <c r="G858" s="295"/>
      <c r="J858" s="296"/>
      <c r="K858" s="295"/>
      <c r="M858" s="296"/>
      <c r="N858" s="295"/>
      <c r="P858" s="296"/>
      <c r="T858" s="292"/>
    </row>
    <row r="859" ht="12.75" customHeight="1">
      <c r="D859" s="293"/>
      <c r="E859" s="107"/>
      <c r="F859" s="294"/>
      <c r="G859" s="295"/>
      <c r="J859" s="296"/>
      <c r="K859" s="295"/>
      <c r="M859" s="296"/>
      <c r="N859" s="295"/>
      <c r="P859" s="296"/>
      <c r="T859" s="292"/>
    </row>
    <row r="860" ht="12.75" customHeight="1">
      <c r="D860" s="293"/>
      <c r="E860" s="107"/>
      <c r="F860" s="294"/>
      <c r="G860" s="295"/>
      <c r="J860" s="296"/>
      <c r="K860" s="295"/>
      <c r="M860" s="296"/>
      <c r="N860" s="295"/>
      <c r="P860" s="296"/>
      <c r="T860" s="292"/>
    </row>
    <row r="861" ht="12.75" customHeight="1">
      <c r="D861" s="293"/>
      <c r="E861" s="107"/>
      <c r="F861" s="294"/>
      <c r="G861" s="295"/>
      <c r="J861" s="296"/>
      <c r="K861" s="295"/>
      <c r="M861" s="296"/>
      <c r="N861" s="295"/>
      <c r="P861" s="296"/>
      <c r="T861" s="292"/>
    </row>
    <row r="862" ht="12.75" customHeight="1">
      <c r="D862" s="293"/>
      <c r="E862" s="107"/>
      <c r="F862" s="294"/>
      <c r="G862" s="295"/>
      <c r="J862" s="296"/>
      <c r="K862" s="295"/>
      <c r="M862" s="296"/>
      <c r="N862" s="295"/>
      <c r="P862" s="296"/>
      <c r="T862" s="292"/>
    </row>
    <row r="863" ht="12.75" customHeight="1">
      <c r="D863" s="293"/>
      <c r="E863" s="107"/>
      <c r="F863" s="294"/>
      <c r="G863" s="295"/>
      <c r="J863" s="296"/>
      <c r="K863" s="295"/>
      <c r="M863" s="296"/>
      <c r="N863" s="295"/>
      <c r="P863" s="296"/>
      <c r="T863" s="292"/>
    </row>
    <row r="864" ht="12.75" customHeight="1">
      <c r="D864" s="293"/>
      <c r="E864" s="107"/>
      <c r="F864" s="294"/>
      <c r="G864" s="295"/>
      <c r="J864" s="296"/>
      <c r="K864" s="295"/>
      <c r="M864" s="296"/>
      <c r="N864" s="295"/>
      <c r="P864" s="296"/>
      <c r="T864" s="292"/>
    </row>
    <row r="865" ht="12.75" customHeight="1">
      <c r="D865" s="293"/>
      <c r="E865" s="107"/>
      <c r="F865" s="294"/>
      <c r="G865" s="295"/>
      <c r="J865" s="296"/>
      <c r="K865" s="295"/>
      <c r="M865" s="296"/>
      <c r="N865" s="295"/>
      <c r="P865" s="296"/>
      <c r="T865" s="292"/>
    </row>
    <row r="866" ht="12.75" customHeight="1">
      <c r="D866" s="293"/>
      <c r="E866" s="107"/>
      <c r="F866" s="294"/>
      <c r="G866" s="295"/>
      <c r="J866" s="296"/>
      <c r="K866" s="295"/>
      <c r="M866" s="296"/>
      <c r="N866" s="295"/>
      <c r="P866" s="296"/>
      <c r="T866" s="292"/>
    </row>
    <row r="867" ht="12.75" customHeight="1">
      <c r="D867" s="293"/>
      <c r="E867" s="107"/>
      <c r="F867" s="294"/>
      <c r="G867" s="295"/>
      <c r="J867" s="296"/>
      <c r="K867" s="295"/>
      <c r="M867" s="296"/>
      <c r="N867" s="295"/>
      <c r="P867" s="296"/>
      <c r="T867" s="292"/>
    </row>
    <row r="868" ht="12.75" customHeight="1">
      <c r="D868" s="293"/>
      <c r="E868" s="107"/>
      <c r="F868" s="294"/>
      <c r="G868" s="295"/>
      <c r="J868" s="296"/>
      <c r="K868" s="295"/>
      <c r="M868" s="296"/>
      <c r="N868" s="295"/>
      <c r="P868" s="296"/>
      <c r="T868" s="292"/>
    </row>
    <row r="869" ht="12.75" customHeight="1">
      <c r="D869" s="293"/>
      <c r="E869" s="107"/>
      <c r="F869" s="294"/>
      <c r="G869" s="295"/>
      <c r="J869" s="296"/>
      <c r="K869" s="295"/>
      <c r="M869" s="296"/>
      <c r="N869" s="295"/>
      <c r="P869" s="296"/>
      <c r="T869" s="292"/>
    </row>
    <row r="870" ht="12.75" customHeight="1">
      <c r="D870" s="293"/>
      <c r="E870" s="107"/>
      <c r="F870" s="294"/>
      <c r="G870" s="295"/>
      <c r="J870" s="296"/>
      <c r="K870" s="295"/>
      <c r="M870" s="296"/>
      <c r="N870" s="295"/>
      <c r="P870" s="296"/>
      <c r="T870" s="292"/>
    </row>
    <row r="871" ht="12.75" customHeight="1">
      <c r="D871" s="293"/>
      <c r="E871" s="107"/>
      <c r="F871" s="294"/>
      <c r="G871" s="295"/>
      <c r="J871" s="296"/>
      <c r="K871" s="295"/>
      <c r="M871" s="296"/>
      <c r="N871" s="295"/>
      <c r="P871" s="296"/>
      <c r="T871" s="292"/>
    </row>
    <row r="872" ht="12.75" customHeight="1">
      <c r="D872" s="293"/>
      <c r="E872" s="107"/>
      <c r="F872" s="294"/>
      <c r="G872" s="295"/>
      <c r="J872" s="296"/>
      <c r="K872" s="295"/>
      <c r="M872" s="296"/>
      <c r="N872" s="295"/>
      <c r="P872" s="296"/>
      <c r="T872" s="292"/>
    </row>
    <row r="873" ht="12.75" customHeight="1">
      <c r="D873" s="293"/>
      <c r="E873" s="107"/>
      <c r="F873" s="294"/>
      <c r="G873" s="295"/>
      <c r="J873" s="296"/>
      <c r="K873" s="295"/>
      <c r="M873" s="296"/>
      <c r="N873" s="295"/>
      <c r="P873" s="296"/>
      <c r="T873" s="292"/>
    </row>
    <row r="874" ht="12.75" customHeight="1">
      <c r="D874" s="293"/>
      <c r="E874" s="107"/>
      <c r="F874" s="294"/>
      <c r="G874" s="295"/>
      <c r="J874" s="296"/>
      <c r="K874" s="295"/>
      <c r="M874" s="296"/>
      <c r="N874" s="295"/>
      <c r="P874" s="296"/>
      <c r="T874" s="292"/>
    </row>
    <row r="875" ht="12.75" customHeight="1">
      <c r="D875" s="293"/>
      <c r="E875" s="107"/>
      <c r="F875" s="294"/>
      <c r="G875" s="295"/>
      <c r="J875" s="296"/>
      <c r="K875" s="295"/>
      <c r="M875" s="296"/>
      <c r="N875" s="295"/>
      <c r="P875" s="296"/>
      <c r="T875" s="292"/>
    </row>
    <row r="876" ht="12.75" customHeight="1">
      <c r="D876" s="293"/>
      <c r="E876" s="107"/>
      <c r="F876" s="294"/>
      <c r="G876" s="295"/>
      <c r="J876" s="296"/>
      <c r="K876" s="295"/>
      <c r="M876" s="296"/>
      <c r="N876" s="295"/>
      <c r="P876" s="296"/>
      <c r="T876" s="292"/>
    </row>
    <row r="877" ht="12.75" customHeight="1">
      <c r="D877" s="293"/>
      <c r="E877" s="107"/>
      <c r="F877" s="294"/>
      <c r="G877" s="295"/>
      <c r="J877" s="296"/>
      <c r="K877" s="295"/>
      <c r="M877" s="296"/>
      <c r="N877" s="295"/>
      <c r="P877" s="296"/>
      <c r="T877" s="292"/>
    </row>
    <row r="878" ht="12.75" customHeight="1">
      <c r="D878" s="293"/>
      <c r="E878" s="107"/>
      <c r="F878" s="294"/>
      <c r="G878" s="295"/>
      <c r="J878" s="296"/>
      <c r="K878" s="295"/>
      <c r="M878" s="296"/>
      <c r="N878" s="295"/>
      <c r="P878" s="296"/>
      <c r="T878" s="292"/>
    </row>
    <row r="879" ht="12.75" customHeight="1">
      <c r="D879" s="293"/>
      <c r="E879" s="107"/>
      <c r="F879" s="294"/>
      <c r="G879" s="295"/>
      <c r="J879" s="296"/>
      <c r="K879" s="295"/>
      <c r="M879" s="296"/>
      <c r="N879" s="295"/>
      <c r="P879" s="296"/>
      <c r="T879" s="292"/>
    </row>
    <row r="880" ht="12.75" customHeight="1">
      <c r="D880" s="293"/>
      <c r="E880" s="107"/>
      <c r="F880" s="294"/>
      <c r="G880" s="295"/>
      <c r="J880" s="296"/>
      <c r="K880" s="295"/>
      <c r="M880" s="296"/>
      <c r="N880" s="295"/>
      <c r="P880" s="296"/>
      <c r="T880" s="292"/>
    </row>
    <row r="881" ht="12.75" customHeight="1">
      <c r="D881" s="293"/>
      <c r="E881" s="107"/>
      <c r="F881" s="294"/>
      <c r="G881" s="295"/>
      <c r="J881" s="296"/>
      <c r="K881" s="295"/>
      <c r="M881" s="296"/>
      <c r="N881" s="295"/>
      <c r="P881" s="296"/>
      <c r="T881" s="292"/>
    </row>
    <row r="882" ht="12.75" customHeight="1">
      <c r="D882" s="293"/>
      <c r="E882" s="107"/>
      <c r="F882" s="294"/>
      <c r="G882" s="295"/>
      <c r="J882" s="296"/>
      <c r="K882" s="295"/>
      <c r="M882" s="296"/>
      <c r="N882" s="295"/>
      <c r="P882" s="296"/>
      <c r="T882" s="292"/>
    </row>
    <row r="883" ht="12.75" customHeight="1">
      <c r="D883" s="293"/>
      <c r="E883" s="107"/>
      <c r="F883" s="294"/>
      <c r="G883" s="295"/>
      <c r="J883" s="296"/>
      <c r="K883" s="295"/>
      <c r="M883" s="296"/>
      <c r="N883" s="295"/>
      <c r="P883" s="296"/>
      <c r="T883" s="292"/>
    </row>
    <row r="884" ht="12.75" customHeight="1">
      <c r="D884" s="293"/>
      <c r="E884" s="107"/>
      <c r="F884" s="294"/>
      <c r="G884" s="295"/>
      <c r="J884" s="296"/>
      <c r="K884" s="295"/>
      <c r="M884" s="296"/>
      <c r="N884" s="295"/>
      <c r="P884" s="296"/>
      <c r="T884" s="292"/>
    </row>
    <row r="885" ht="12.75" customHeight="1">
      <c r="D885" s="293"/>
      <c r="E885" s="107"/>
      <c r="F885" s="294"/>
      <c r="G885" s="295"/>
      <c r="J885" s="296"/>
      <c r="K885" s="295"/>
      <c r="M885" s="296"/>
      <c r="N885" s="295"/>
      <c r="P885" s="296"/>
      <c r="T885" s="292"/>
    </row>
    <row r="886" ht="12.75" customHeight="1">
      <c r="D886" s="293"/>
      <c r="E886" s="107"/>
      <c r="F886" s="294"/>
      <c r="G886" s="295"/>
      <c r="J886" s="296"/>
      <c r="K886" s="295"/>
      <c r="M886" s="296"/>
      <c r="N886" s="295"/>
      <c r="P886" s="296"/>
      <c r="T886" s="292"/>
    </row>
    <row r="887" ht="12.75" customHeight="1">
      <c r="D887" s="293"/>
      <c r="E887" s="107"/>
      <c r="F887" s="294"/>
      <c r="G887" s="295"/>
      <c r="J887" s="296"/>
      <c r="K887" s="295"/>
      <c r="M887" s="296"/>
      <c r="N887" s="295"/>
      <c r="P887" s="296"/>
      <c r="T887" s="292"/>
    </row>
    <row r="888" ht="12.75" customHeight="1">
      <c r="D888" s="293"/>
      <c r="E888" s="107"/>
      <c r="F888" s="294"/>
      <c r="G888" s="295"/>
      <c r="J888" s="296"/>
      <c r="K888" s="295"/>
      <c r="M888" s="296"/>
      <c r="N888" s="295"/>
      <c r="P888" s="296"/>
      <c r="T888" s="292"/>
    </row>
    <row r="889" ht="12.75" customHeight="1">
      <c r="D889" s="293"/>
      <c r="E889" s="107"/>
      <c r="F889" s="294"/>
      <c r="G889" s="295"/>
      <c r="J889" s="296"/>
      <c r="K889" s="295"/>
      <c r="M889" s="296"/>
      <c r="N889" s="295"/>
      <c r="P889" s="296"/>
      <c r="T889" s="292"/>
    </row>
    <row r="890" ht="12.75" customHeight="1">
      <c r="D890" s="293"/>
      <c r="E890" s="107"/>
      <c r="F890" s="294"/>
      <c r="G890" s="295"/>
      <c r="J890" s="296"/>
      <c r="K890" s="295"/>
      <c r="M890" s="296"/>
      <c r="N890" s="295"/>
      <c r="P890" s="296"/>
      <c r="T890" s="292"/>
    </row>
    <row r="891" ht="12.75" customHeight="1">
      <c r="D891" s="293"/>
      <c r="E891" s="107"/>
      <c r="F891" s="294"/>
      <c r="G891" s="295"/>
      <c r="J891" s="296"/>
      <c r="K891" s="295"/>
      <c r="M891" s="296"/>
      <c r="N891" s="295"/>
      <c r="P891" s="296"/>
      <c r="T891" s="292"/>
    </row>
    <row r="892" ht="12.75" customHeight="1">
      <c r="D892" s="293"/>
      <c r="E892" s="107"/>
      <c r="F892" s="294"/>
      <c r="G892" s="295"/>
      <c r="J892" s="296"/>
      <c r="K892" s="295"/>
      <c r="M892" s="296"/>
      <c r="N892" s="295"/>
      <c r="P892" s="296"/>
      <c r="T892" s="292"/>
    </row>
    <row r="893" ht="12.75" customHeight="1">
      <c r="D893" s="293"/>
      <c r="E893" s="107"/>
      <c r="F893" s="294"/>
      <c r="G893" s="295"/>
      <c r="J893" s="296"/>
      <c r="K893" s="295"/>
      <c r="M893" s="296"/>
      <c r="N893" s="295"/>
      <c r="P893" s="296"/>
      <c r="T893" s="292"/>
    </row>
    <row r="894" ht="12.75" customHeight="1">
      <c r="D894" s="293"/>
      <c r="E894" s="107"/>
      <c r="F894" s="294"/>
      <c r="G894" s="295"/>
      <c r="J894" s="296"/>
      <c r="K894" s="295"/>
      <c r="M894" s="296"/>
      <c r="N894" s="295"/>
      <c r="P894" s="296"/>
      <c r="T894" s="292"/>
    </row>
    <row r="895" ht="12.75" customHeight="1">
      <c r="D895" s="293"/>
      <c r="E895" s="107"/>
      <c r="F895" s="294"/>
      <c r="G895" s="295"/>
      <c r="J895" s="296"/>
      <c r="K895" s="295"/>
      <c r="M895" s="296"/>
      <c r="N895" s="295"/>
      <c r="P895" s="296"/>
      <c r="T895" s="292"/>
    </row>
    <row r="896" ht="12.75" customHeight="1">
      <c r="D896" s="293"/>
      <c r="E896" s="107"/>
      <c r="F896" s="294"/>
      <c r="G896" s="295"/>
      <c r="J896" s="296"/>
      <c r="K896" s="295"/>
      <c r="M896" s="296"/>
      <c r="N896" s="295"/>
      <c r="P896" s="296"/>
      <c r="T896" s="292"/>
    </row>
    <row r="897" ht="12.75" customHeight="1">
      <c r="D897" s="293"/>
      <c r="E897" s="107"/>
      <c r="F897" s="294"/>
      <c r="G897" s="295"/>
      <c r="J897" s="296"/>
      <c r="K897" s="295"/>
      <c r="M897" s="296"/>
      <c r="N897" s="295"/>
      <c r="P897" s="296"/>
      <c r="T897" s="292"/>
    </row>
    <row r="898" ht="12.75" customHeight="1">
      <c r="D898" s="293"/>
      <c r="E898" s="107"/>
      <c r="F898" s="294"/>
      <c r="G898" s="295"/>
      <c r="J898" s="296"/>
      <c r="K898" s="295"/>
      <c r="M898" s="296"/>
      <c r="N898" s="295"/>
      <c r="P898" s="296"/>
      <c r="T898" s="292"/>
    </row>
    <row r="899" ht="12.75" customHeight="1">
      <c r="D899" s="293"/>
      <c r="E899" s="107"/>
      <c r="F899" s="294"/>
      <c r="G899" s="295"/>
      <c r="J899" s="296"/>
      <c r="K899" s="295"/>
      <c r="M899" s="296"/>
      <c r="N899" s="295"/>
      <c r="P899" s="296"/>
      <c r="T899" s="292"/>
    </row>
    <row r="900" ht="12.75" customHeight="1">
      <c r="D900" s="293"/>
      <c r="E900" s="107"/>
      <c r="F900" s="294"/>
      <c r="G900" s="295"/>
      <c r="J900" s="296"/>
      <c r="K900" s="295"/>
      <c r="M900" s="296"/>
      <c r="N900" s="295"/>
      <c r="P900" s="296"/>
      <c r="T900" s="292"/>
    </row>
    <row r="901" ht="12.75" customHeight="1">
      <c r="D901" s="293"/>
      <c r="E901" s="107"/>
      <c r="F901" s="294"/>
      <c r="G901" s="295"/>
      <c r="J901" s="296"/>
      <c r="K901" s="295"/>
      <c r="M901" s="296"/>
      <c r="N901" s="295"/>
      <c r="P901" s="296"/>
      <c r="T901" s="292"/>
    </row>
    <row r="902" ht="12.75" customHeight="1">
      <c r="D902" s="293"/>
      <c r="E902" s="107"/>
      <c r="F902" s="294"/>
      <c r="G902" s="295"/>
      <c r="J902" s="296"/>
      <c r="K902" s="295"/>
      <c r="M902" s="296"/>
      <c r="N902" s="295"/>
      <c r="P902" s="296"/>
      <c r="T902" s="292"/>
    </row>
    <row r="903" ht="12.75" customHeight="1">
      <c r="D903" s="293"/>
      <c r="E903" s="107"/>
      <c r="F903" s="294"/>
      <c r="G903" s="295"/>
      <c r="J903" s="296"/>
      <c r="K903" s="295"/>
      <c r="M903" s="296"/>
      <c r="N903" s="295"/>
      <c r="P903" s="296"/>
      <c r="T903" s="292"/>
    </row>
    <row r="904" ht="12.75" customHeight="1">
      <c r="D904" s="293"/>
      <c r="E904" s="107"/>
      <c r="F904" s="294"/>
      <c r="G904" s="295"/>
      <c r="J904" s="296"/>
      <c r="K904" s="295"/>
      <c r="M904" s="296"/>
      <c r="N904" s="295"/>
      <c r="P904" s="296"/>
      <c r="T904" s="292"/>
    </row>
    <row r="905" ht="12.75" customHeight="1">
      <c r="D905" s="293"/>
      <c r="E905" s="107"/>
      <c r="F905" s="294"/>
      <c r="G905" s="295"/>
      <c r="J905" s="296"/>
      <c r="K905" s="295"/>
      <c r="M905" s="296"/>
      <c r="N905" s="295"/>
      <c r="P905" s="296"/>
      <c r="T905" s="292"/>
    </row>
    <row r="906" ht="12.75" customHeight="1">
      <c r="D906" s="293"/>
      <c r="E906" s="107"/>
      <c r="F906" s="294"/>
      <c r="G906" s="295"/>
      <c r="J906" s="296"/>
      <c r="K906" s="295"/>
      <c r="M906" s="296"/>
      <c r="N906" s="295"/>
      <c r="P906" s="296"/>
      <c r="T906" s="292"/>
    </row>
    <row r="907" ht="12.75" customHeight="1">
      <c r="D907" s="293"/>
      <c r="E907" s="107"/>
      <c r="F907" s="294"/>
      <c r="G907" s="295"/>
      <c r="J907" s="296"/>
      <c r="K907" s="295"/>
      <c r="M907" s="296"/>
      <c r="N907" s="295"/>
      <c r="P907" s="296"/>
      <c r="T907" s="292"/>
    </row>
    <row r="908" ht="12.75" customHeight="1">
      <c r="D908" s="293"/>
      <c r="E908" s="107"/>
      <c r="F908" s="294"/>
      <c r="G908" s="295"/>
      <c r="J908" s="296"/>
      <c r="K908" s="295"/>
      <c r="M908" s="296"/>
      <c r="N908" s="295"/>
      <c r="P908" s="296"/>
      <c r="T908" s="292"/>
    </row>
    <row r="909" ht="12.75" customHeight="1">
      <c r="D909" s="293"/>
      <c r="E909" s="107"/>
      <c r="F909" s="294"/>
      <c r="G909" s="295"/>
      <c r="J909" s="296"/>
      <c r="K909" s="295"/>
      <c r="M909" s="296"/>
      <c r="N909" s="295"/>
      <c r="P909" s="296"/>
      <c r="T909" s="292"/>
    </row>
    <row r="910" ht="12.75" customHeight="1">
      <c r="D910" s="293"/>
      <c r="E910" s="107"/>
      <c r="F910" s="294"/>
      <c r="G910" s="295"/>
      <c r="J910" s="296"/>
      <c r="K910" s="295"/>
      <c r="M910" s="296"/>
      <c r="N910" s="295"/>
      <c r="P910" s="296"/>
      <c r="T910" s="292"/>
    </row>
    <row r="911" ht="12.75" customHeight="1">
      <c r="D911" s="293"/>
      <c r="E911" s="107"/>
      <c r="F911" s="294"/>
      <c r="G911" s="295"/>
      <c r="J911" s="296"/>
      <c r="K911" s="295"/>
      <c r="M911" s="296"/>
      <c r="N911" s="295"/>
      <c r="P911" s="296"/>
      <c r="T911" s="292"/>
    </row>
    <row r="912" ht="12.75" customHeight="1">
      <c r="D912" s="293"/>
      <c r="E912" s="107"/>
      <c r="F912" s="294"/>
      <c r="G912" s="295"/>
      <c r="J912" s="296"/>
      <c r="K912" s="295"/>
      <c r="M912" s="296"/>
      <c r="N912" s="295"/>
      <c r="P912" s="296"/>
      <c r="T912" s="292"/>
    </row>
    <row r="913" ht="12.75" customHeight="1">
      <c r="D913" s="293"/>
      <c r="E913" s="107"/>
      <c r="F913" s="294"/>
      <c r="G913" s="295"/>
      <c r="J913" s="296"/>
      <c r="K913" s="295"/>
      <c r="M913" s="296"/>
      <c r="N913" s="295"/>
      <c r="P913" s="296"/>
      <c r="T913" s="292"/>
    </row>
    <row r="914" ht="12.75" customHeight="1">
      <c r="D914" s="293"/>
      <c r="E914" s="107"/>
      <c r="F914" s="294"/>
      <c r="G914" s="295"/>
      <c r="J914" s="296"/>
      <c r="K914" s="295"/>
      <c r="M914" s="296"/>
      <c r="N914" s="295"/>
      <c r="P914" s="296"/>
      <c r="T914" s="292"/>
    </row>
    <row r="915" ht="12.75" customHeight="1">
      <c r="D915" s="293"/>
      <c r="E915" s="107"/>
      <c r="F915" s="294"/>
      <c r="G915" s="295"/>
      <c r="J915" s="296"/>
      <c r="K915" s="295"/>
      <c r="M915" s="296"/>
      <c r="N915" s="295"/>
      <c r="P915" s="296"/>
      <c r="T915" s="292"/>
    </row>
    <row r="916" ht="12.75" customHeight="1">
      <c r="D916" s="293"/>
      <c r="E916" s="107"/>
      <c r="F916" s="294"/>
      <c r="G916" s="295"/>
      <c r="J916" s="296"/>
      <c r="K916" s="295"/>
      <c r="M916" s="296"/>
      <c r="N916" s="295"/>
      <c r="P916" s="296"/>
      <c r="T916" s="292"/>
    </row>
    <row r="917" ht="12.75" customHeight="1">
      <c r="D917" s="293"/>
      <c r="E917" s="107"/>
      <c r="F917" s="294"/>
      <c r="G917" s="295"/>
      <c r="J917" s="296"/>
      <c r="K917" s="295"/>
      <c r="M917" s="296"/>
      <c r="N917" s="295"/>
      <c r="P917" s="296"/>
      <c r="T917" s="292"/>
    </row>
    <row r="918" ht="12.75" customHeight="1">
      <c r="D918" s="293"/>
      <c r="E918" s="107"/>
      <c r="F918" s="294"/>
      <c r="G918" s="295"/>
      <c r="J918" s="296"/>
      <c r="K918" s="295"/>
      <c r="M918" s="296"/>
      <c r="N918" s="295"/>
      <c r="P918" s="296"/>
      <c r="T918" s="292"/>
    </row>
    <row r="919" ht="12.75" customHeight="1">
      <c r="D919" s="293"/>
      <c r="E919" s="107"/>
      <c r="F919" s="294"/>
      <c r="G919" s="295"/>
      <c r="J919" s="296"/>
      <c r="K919" s="295"/>
      <c r="M919" s="296"/>
      <c r="N919" s="295"/>
      <c r="P919" s="296"/>
      <c r="T919" s="292"/>
    </row>
    <row r="920" ht="12.75" customHeight="1">
      <c r="D920" s="293"/>
      <c r="E920" s="107"/>
      <c r="F920" s="294"/>
      <c r="G920" s="295"/>
      <c r="J920" s="296"/>
      <c r="K920" s="295"/>
      <c r="M920" s="296"/>
      <c r="N920" s="295"/>
      <c r="P920" s="296"/>
      <c r="T920" s="292"/>
    </row>
    <row r="921" ht="12.75" customHeight="1">
      <c r="D921" s="293"/>
      <c r="E921" s="107"/>
      <c r="F921" s="294"/>
      <c r="G921" s="295"/>
      <c r="J921" s="296"/>
      <c r="K921" s="295"/>
      <c r="M921" s="296"/>
      <c r="N921" s="295"/>
      <c r="P921" s="296"/>
      <c r="T921" s="292"/>
    </row>
    <row r="922" ht="12.75" customHeight="1">
      <c r="D922" s="293"/>
      <c r="E922" s="107"/>
      <c r="F922" s="294"/>
      <c r="G922" s="295"/>
      <c r="J922" s="296"/>
      <c r="K922" s="295"/>
      <c r="M922" s="296"/>
      <c r="N922" s="295"/>
      <c r="P922" s="296"/>
      <c r="T922" s="292"/>
    </row>
    <row r="923" ht="12.75" customHeight="1">
      <c r="D923" s="293"/>
      <c r="E923" s="107"/>
      <c r="F923" s="294"/>
      <c r="G923" s="295"/>
      <c r="J923" s="296"/>
      <c r="K923" s="295"/>
      <c r="M923" s="296"/>
      <c r="N923" s="295"/>
      <c r="P923" s="296"/>
      <c r="T923" s="292"/>
    </row>
    <row r="924" ht="12.75" customHeight="1">
      <c r="D924" s="293"/>
      <c r="E924" s="107"/>
      <c r="F924" s="294"/>
      <c r="G924" s="295"/>
      <c r="J924" s="296"/>
      <c r="K924" s="295"/>
      <c r="M924" s="296"/>
      <c r="N924" s="295"/>
      <c r="P924" s="296"/>
      <c r="T924" s="292"/>
    </row>
    <row r="925" ht="12.75" customHeight="1">
      <c r="D925" s="293"/>
      <c r="E925" s="107"/>
      <c r="F925" s="294"/>
      <c r="G925" s="295"/>
      <c r="J925" s="296"/>
      <c r="K925" s="295"/>
      <c r="M925" s="296"/>
      <c r="N925" s="295"/>
      <c r="P925" s="296"/>
      <c r="T925" s="292"/>
    </row>
    <row r="926" ht="12.75" customHeight="1">
      <c r="D926" s="293"/>
      <c r="E926" s="107"/>
      <c r="F926" s="294"/>
      <c r="G926" s="295"/>
      <c r="J926" s="296"/>
      <c r="K926" s="295"/>
      <c r="M926" s="296"/>
      <c r="N926" s="295"/>
      <c r="P926" s="296"/>
      <c r="T926" s="292"/>
    </row>
    <row r="927" ht="12.75" customHeight="1">
      <c r="D927" s="293"/>
      <c r="E927" s="107"/>
      <c r="F927" s="294"/>
      <c r="G927" s="295"/>
      <c r="J927" s="296"/>
      <c r="K927" s="295"/>
      <c r="M927" s="296"/>
      <c r="N927" s="295"/>
      <c r="P927" s="296"/>
      <c r="T927" s="292"/>
    </row>
    <row r="928" ht="12.75" customHeight="1">
      <c r="D928" s="293"/>
      <c r="E928" s="107"/>
      <c r="F928" s="294"/>
      <c r="G928" s="295"/>
      <c r="J928" s="296"/>
      <c r="K928" s="295"/>
      <c r="M928" s="296"/>
      <c r="N928" s="295"/>
      <c r="P928" s="296"/>
      <c r="T928" s="292"/>
    </row>
    <row r="929" ht="12.75" customHeight="1">
      <c r="D929" s="293"/>
      <c r="E929" s="107"/>
      <c r="F929" s="294"/>
      <c r="G929" s="295"/>
      <c r="J929" s="296"/>
      <c r="K929" s="295"/>
      <c r="M929" s="296"/>
      <c r="N929" s="295"/>
      <c r="P929" s="296"/>
      <c r="T929" s="292"/>
    </row>
    <row r="930" ht="12.75" customHeight="1">
      <c r="D930" s="293"/>
      <c r="E930" s="107"/>
      <c r="F930" s="294"/>
      <c r="G930" s="295"/>
      <c r="J930" s="296"/>
      <c r="K930" s="295"/>
      <c r="M930" s="296"/>
      <c r="N930" s="295"/>
      <c r="P930" s="296"/>
      <c r="T930" s="292"/>
    </row>
    <row r="931" ht="12.75" customHeight="1">
      <c r="D931" s="293"/>
      <c r="E931" s="107"/>
      <c r="F931" s="294"/>
      <c r="G931" s="295"/>
      <c r="J931" s="296"/>
      <c r="K931" s="295"/>
      <c r="M931" s="296"/>
      <c r="N931" s="295"/>
      <c r="P931" s="296"/>
      <c r="T931" s="292"/>
    </row>
    <row r="932" ht="12.75" customHeight="1">
      <c r="D932" s="293"/>
      <c r="E932" s="107"/>
      <c r="F932" s="294"/>
      <c r="G932" s="295"/>
      <c r="J932" s="296"/>
      <c r="K932" s="295"/>
      <c r="M932" s="296"/>
      <c r="N932" s="295"/>
      <c r="P932" s="296"/>
      <c r="T932" s="292"/>
    </row>
    <row r="933" ht="12.75" customHeight="1">
      <c r="D933" s="293"/>
      <c r="E933" s="107"/>
      <c r="F933" s="294"/>
      <c r="G933" s="295"/>
      <c r="J933" s="296"/>
      <c r="K933" s="295"/>
      <c r="M933" s="296"/>
      <c r="N933" s="295"/>
      <c r="P933" s="296"/>
      <c r="T933" s="292"/>
    </row>
    <row r="934" ht="12.75" customHeight="1">
      <c r="D934" s="293"/>
      <c r="E934" s="107"/>
      <c r="F934" s="294"/>
      <c r="G934" s="295"/>
      <c r="J934" s="296"/>
      <c r="K934" s="295"/>
      <c r="M934" s="296"/>
      <c r="N934" s="295"/>
      <c r="P934" s="296"/>
      <c r="T934" s="292"/>
    </row>
    <row r="935" ht="12.75" customHeight="1">
      <c r="D935" s="293"/>
      <c r="E935" s="107"/>
      <c r="F935" s="294"/>
      <c r="G935" s="295"/>
      <c r="J935" s="296"/>
      <c r="K935" s="295"/>
      <c r="M935" s="296"/>
      <c r="N935" s="295"/>
      <c r="P935" s="296"/>
      <c r="T935" s="292"/>
    </row>
    <row r="936" ht="12.75" customHeight="1">
      <c r="D936" s="293"/>
      <c r="E936" s="107"/>
      <c r="F936" s="294"/>
      <c r="G936" s="295"/>
      <c r="J936" s="296"/>
      <c r="K936" s="295"/>
      <c r="M936" s="296"/>
      <c r="N936" s="295"/>
      <c r="P936" s="296"/>
      <c r="T936" s="292"/>
    </row>
    <row r="937" ht="12.75" customHeight="1">
      <c r="D937" s="293"/>
      <c r="E937" s="107"/>
      <c r="F937" s="294"/>
      <c r="G937" s="295"/>
      <c r="J937" s="296"/>
      <c r="K937" s="295"/>
      <c r="M937" s="296"/>
      <c r="N937" s="295"/>
      <c r="P937" s="296"/>
      <c r="T937" s="292"/>
    </row>
    <row r="938" ht="12.75" customHeight="1">
      <c r="D938" s="293"/>
      <c r="E938" s="107"/>
      <c r="F938" s="294"/>
      <c r="G938" s="295"/>
      <c r="J938" s="296"/>
      <c r="K938" s="295"/>
      <c r="M938" s="296"/>
      <c r="N938" s="295"/>
      <c r="P938" s="296"/>
      <c r="T938" s="292"/>
    </row>
    <row r="939" ht="12.75" customHeight="1">
      <c r="D939" s="293"/>
      <c r="E939" s="107"/>
      <c r="F939" s="294"/>
      <c r="G939" s="295"/>
      <c r="J939" s="296"/>
      <c r="K939" s="295"/>
      <c r="M939" s="296"/>
      <c r="N939" s="295"/>
      <c r="P939" s="296"/>
      <c r="T939" s="292"/>
    </row>
    <row r="940" ht="12.75" customHeight="1">
      <c r="D940" s="293"/>
      <c r="E940" s="107"/>
      <c r="F940" s="294"/>
      <c r="G940" s="295"/>
      <c r="J940" s="296"/>
      <c r="K940" s="295"/>
      <c r="M940" s="296"/>
      <c r="N940" s="295"/>
      <c r="P940" s="296"/>
      <c r="T940" s="292"/>
    </row>
    <row r="941" ht="12.75" customHeight="1">
      <c r="D941" s="293"/>
      <c r="E941" s="107"/>
      <c r="F941" s="294"/>
      <c r="G941" s="295"/>
      <c r="J941" s="296"/>
      <c r="K941" s="295"/>
      <c r="M941" s="296"/>
      <c r="N941" s="295"/>
      <c r="P941" s="296"/>
      <c r="T941" s="292"/>
    </row>
    <row r="942" ht="12.75" customHeight="1">
      <c r="D942" s="293"/>
      <c r="E942" s="107"/>
      <c r="F942" s="294"/>
      <c r="G942" s="295"/>
      <c r="J942" s="296"/>
      <c r="K942" s="295"/>
      <c r="M942" s="296"/>
      <c r="N942" s="295"/>
      <c r="P942" s="296"/>
      <c r="T942" s="292"/>
    </row>
    <row r="943" ht="12.75" customHeight="1">
      <c r="D943" s="293"/>
      <c r="E943" s="107"/>
      <c r="F943" s="294"/>
      <c r="G943" s="295"/>
      <c r="J943" s="296"/>
      <c r="K943" s="295"/>
      <c r="M943" s="296"/>
      <c r="N943" s="295"/>
      <c r="P943" s="296"/>
      <c r="T943" s="292"/>
    </row>
    <row r="944" ht="12.75" customHeight="1">
      <c r="D944" s="293"/>
      <c r="E944" s="107"/>
      <c r="F944" s="294"/>
      <c r="G944" s="295"/>
      <c r="J944" s="296"/>
      <c r="K944" s="295"/>
      <c r="M944" s="296"/>
      <c r="N944" s="295"/>
      <c r="P944" s="296"/>
      <c r="T944" s="292"/>
    </row>
    <row r="945" ht="12.75" customHeight="1">
      <c r="D945" s="293"/>
      <c r="E945" s="107"/>
      <c r="F945" s="294"/>
      <c r="G945" s="295"/>
      <c r="J945" s="296"/>
      <c r="K945" s="295"/>
      <c r="M945" s="296"/>
      <c r="N945" s="295"/>
      <c r="P945" s="296"/>
      <c r="T945" s="292"/>
    </row>
    <row r="946" ht="12.75" customHeight="1">
      <c r="D946" s="293"/>
      <c r="E946" s="107"/>
      <c r="F946" s="294"/>
      <c r="G946" s="295"/>
      <c r="J946" s="296"/>
      <c r="K946" s="295"/>
      <c r="M946" s="296"/>
      <c r="N946" s="295"/>
      <c r="P946" s="296"/>
      <c r="T946" s="292"/>
    </row>
    <row r="947" ht="12.75" customHeight="1">
      <c r="D947" s="293"/>
      <c r="E947" s="107"/>
      <c r="F947" s="294"/>
      <c r="G947" s="295"/>
      <c r="J947" s="296"/>
      <c r="K947" s="295"/>
      <c r="M947" s="296"/>
      <c r="N947" s="295"/>
      <c r="P947" s="296"/>
      <c r="T947" s="292"/>
    </row>
    <row r="948" ht="12.75" customHeight="1">
      <c r="D948" s="293"/>
      <c r="E948" s="107"/>
      <c r="F948" s="294"/>
      <c r="G948" s="295"/>
      <c r="J948" s="296"/>
      <c r="K948" s="295"/>
      <c r="M948" s="296"/>
      <c r="N948" s="295"/>
      <c r="P948" s="296"/>
      <c r="T948" s="292"/>
    </row>
    <row r="949" ht="12.75" customHeight="1">
      <c r="D949" s="293"/>
      <c r="E949" s="107"/>
      <c r="F949" s="294"/>
      <c r="G949" s="295"/>
      <c r="J949" s="296"/>
      <c r="K949" s="295"/>
      <c r="M949" s="296"/>
      <c r="N949" s="295"/>
      <c r="P949" s="296"/>
      <c r="T949" s="292"/>
    </row>
    <row r="950" ht="12.75" customHeight="1">
      <c r="D950" s="293"/>
      <c r="E950" s="107"/>
      <c r="F950" s="294"/>
      <c r="G950" s="295"/>
      <c r="J950" s="296"/>
      <c r="K950" s="295"/>
      <c r="M950" s="296"/>
      <c r="N950" s="295"/>
      <c r="P950" s="296"/>
      <c r="T950" s="292"/>
    </row>
    <row r="951" ht="12.75" customHeight="1">
      <c r="D951" s="293"/>
      <c r="E951" s="107"/>
      <c r="F951" s="294"/>
      <c r="G951" s="295"/>
      <c r="J951" s="296"/>
      <c r="K951" s="295"/>
      <c r="M951" s="296"/>
      <c r="N951" s="295"/>
      <c r="P951" s="296"/>
      <c r="T951" s="292"/>
    </row>
    <row r="952" ht="12.75" customHeight="1">
      <c r="D952" s="293"/>
      <c r="E952" s="107"/>
      <c r="F952" s="294"/>
      <c r="G952" s="295"/>
      <c r="J952" s="296"/>
      <c r="K952" s="295"/>
      <c r="M952" s="296"/>
      <c r="N952" s="295"/>
      <c r="P952" s="296"/>
      <c r="T952" s="292"/>
    </row>
    <row r="953" ht="12.75" customHeight="1">
      <c r="D953" s="293"/>
      <c r="E953" s="107"/>
      <c r="F953" s="294"/>
      <c r="G953" s="295"/>
      <c r="J953" s="296"/>
      <c r="K953" s="295"/>
      <c r="M953" s="296"/>
      <c r="N953" s="295"/>
      <c r="P953" s="296"/>
      <c r="T953" s="292"/>
    </row>
    <row r="954" ht="12.75" customHeight="1">
      <c r="D954" s="293"/>
      <c r="E954" s="107"/>
      <c r="F954" s="294"/>
      <c r="G954" s="295"/>
      <c r="J954" s="296"/>
      <c r="K954" s="295"/>
      <c r="M954" s="296"/>
      <c r="N954" s="295"/>
      <c r="P954" s="296"/>
      <c r="T954" s="292"/>
    </row>
    <row r="955" ht="12.75" customHeight="1">
      <c r="D955" s="293"/>
      <c r="E955" s="107"/>
      <c r="F955" s="294"/>
      <c r="G955" s="295"/>
      <c r="J955" s="296"/>
      <c r="K955" s="295"/>
      <c r="M955" s="296"/>
      <c r="N955" s="295"/>
      <c r="P955" s="296"/>
      <c r="T955" s="292"/>
    </row>
    <row r="956" ht="12.75" customHeight="1">
      <c r="D956" s="293"/>
      <c r="E956" s="107"/>
      <c r="F956" s="294"/>
      <c r="G956" s="295"/>
      <c r="J956" s="296"/>
      <c r="K956" s="295"/>
      <c r="M956" s="296"/>
      <c r="N956" s="295"/>
      <c r="P956" s="296"/>
      <c r="T956" s="292"/>
    </row>
    <row r="957" ht="12.75" customHeight="1">
      <c r="D957" s="293"/>
      <c r="E957" s="107"/>
      <c r="F957" s="294"/>
      <c r="G957" s="295"/>
      <c r="J957" s="296"/>
      <c r="K957" s="295"/>
      <c r="M957" s="296"/>
      <c r="N957" s="295"/>
      <c r="P957" s="296"/>
      <c r="T957" s="292"/>
    </row>
    <row r="958" ht="12.75" customHeight="1">
      <c r="D958" s="293"/>
      <c r="E958" s="107"/>
      <c r="F958" s="294"/>
      <c r="G958" s="295"/>
      <c r="J958" s="296"/>
      <c r="K958" s="295"/>
      <c r="M958" s="296"/>
      <c r="N958" s="295"/>
      <c r="P958" s="296"/>
      <c r="T958" s="292"/>
    </row>
    <row r="959" ht="12.75" customHeight="1">
      <c r="D959" s="293"/>
      <c r="E959" s="107"/>
      <c r="F959" s="294"/>
      <c r="G959" s="295"/>
      <c r="J959" s="296"/>
      <c r="K959" s="295"/>
      <c r="M959" s="296"/>
      <c r="N959" s="295"/>
      <c r="P959" s="296"/>
      <c r="T959" s="292"/>
    </row>
    <row r="960" ht="12.75" customHeight="1">
      <c r="D960" s="293"/>
      <c r="E960" s="107"/>
      <c r="F960" s="294"/>
      <c r="G960" s="295"/>
      <c r="J960" s="296"/>
      <c r="K960" s="295"/>
      <c r="M960" s="296"/>
      <c r="N960" s="295"/>
      <c r="P960" s="296"/>
      <c r="T960" s="292"/>
    </row>
    <row r="961" ht="12.75" customHeight="1">
      <c r="D961" s="293"/>
      <c r="E961" s="107"/>
      <c r="F961" s="294"/>
      <c r="G961" s="295"/>
      <c r="J961" s="296"/>
      <c r="K961" s="295"/>
      <c r="M961" s="296"/>
      <c r="N961" s="295"/>
      <c r="P961" s="296"/>
      <c r="T961" s="292"/>
    </row>
    <row r="962" ht="12.75" customHeight="1">
      <c r="D962" s="293"/>
      <c r="E962" s="107"/>
      <c r="F962" s="294"/>
      <c r="G962" s="295"/>
      <c r="J962" s="296"/>
      <c r="K962" s="295"/>
      <c r="M962" s="296"/>
      <c r="N962" s="295"/>
      <c r="P962" s="296"/>
      <c r="T962" s="292"/>
    </row>
    <row r="963" ht="12.75" customHeight="1">
      <c r="D963" s="293"/>
      <c r="E963" s="107"/>
      <c r="F963" s="294"/>
      <c r="G963" s="295"/>
      <c r="J963" s="296"/>
      <c r="K963" s="295"/>
      <c r="M963" s="296"/>
      <c r="N963" s="295"/>
      <c r="P963" s="296"/>
      <c r="T963" s="292"/>
    </row>
    <row r="964" ht="12.75" customHeight="1">
      <c r="D964" s="293"/>
      <c r="E964" s="107"/>
      <c r="F964" s="294"/>
      <c r="G964" s="295"/>
      <c r="J964" s="296"/>
      <c r="K964" s="295"/>
      <c r="M964" s="296"/>
      <c r="N964" s="295"/>
      <c r="P964" s="296"/>
      <c r="T964" s="292"/>
    </row>
    <row r="965" ht="12.75" customHeight="1">
      <c r="D965" s="293"/>
      <c r="E965" s="107"/>
      <c r="F965" s="294"/>
      <c r="G965" s="295"/>
      <c r="J965" s="296"/>
      <c r="K965" s="295"/>
      <c r="M965" s="296"/>
      <c r="N965" s="295"/>
      <c r="P965" s="296"/>
      <c r="T965" s="292"/>
    </row>
    <row r="966" ht="12.75" customHeight="1">
      <c r="D966" s="293"/>
      <c r="E966" s="107"/>
      <c r="F966" s="294"/>
      <c r="G966" s="295"/>
      <c r="J966" s="296"/>
      <c r="K966" s="295"/>
      <c r="M966" s="296"/>
      <c r="N966" s="295"/>
      <c r="P966" s="296"/>
      <c r="T966" s="292"/>
    </row>
    <row r="967" ht="12.75" customHeight="1">
      <c r="D967" s="293"/>
      <c r="E967" s="107"/>
      <c r="F967" s="294"/>
      <c r="G967" s="295"/>
      <c r="J967" s="296"/>
      <c r="K967" s="295"/>
      <c r="M967" s="296"/>
      <c r="N967" s="295"/>
      <c r="P967" s="296"/>
      <c r="T967" s="292"/>
    </row>
    <row r="968" ht="12.75" customHeight="1">
      <c r="D968" s="293"/>
      <c r="E968" s="107"/>
      <c r="F968" s="294"/>
      <c r="G968" s="295"/>
      <c r="J968" s="296"/>
      <c r="K968" s="295"/>
      <c r="M968" s="296"/>
      <c r="N968" s="295"/>
      <c r="P968" s="296"/>
      <c r="T968" s="292"/>
    </row>
    <row r="969" ht="12.75" customHeight="1">
      <c r="D969" s="293"/>
      <c r="E969" s="107"/>
      <c r="F969" s="294"/>
      <c r="G969" s="295"/>
      <c r="J969" s="296"/>
      <c r="K969" s="295"/>
      <c r="M969" s="296"/>
      <c r="N969" s="295"/>
      <c r="P969" s="296"/>
      <c r="T969" s="292"/>
    </row>
    <row r="970" ht="12.75" customHeight="1">
      <c r="D970" s="293"/>
      <c r="E970" s="107"/>
      <c r="F970" s="294"/>
      <c r="G970" s="295"/>
      <c r="J970" s="296"/>
      <c r="K970" s="295"/>
      <c r="M970" s="296"/>
      <c r="N970" s="295"/>
      <c r="P970" s="296"/>
      <c r="T970" s="292"/>
    </row>
    <row r="971" ht="12.75" customHeight="1">
      <c r="D971" s="293"/>
      <c r="E971" s="107"/>
      <c r="F971" s="294"/>
      <c r="G971" s="295"/>
      <c r="J971" s="296"/>
      <c r="K971" s="295"/>
      <c r="M971" s="296"/>
      <c r="N971" s="295"/>
      <c r="P971" s="296"/>
      <c r="T971" s="292"/>
    </row>
    <row r="972" ht="12.75" customHeight="1">
      <c r="D972" s="293"/>
      <c r="E972" s="107"/>
      <c r="F972" s="294"/>
      <c r="G972" s="295"/>
      <c r="J972" s="296"/>
      <c r="K972" s="295"/>
      <c r="M972" s="296"/>
      <c r="N972" s="295"/>
      <c r="P972" s="296"/>
      <c r="T972" s="292"/>
    </row>
    <row r="973" ht="12.75" customHeight="1">
      <c r="D973" s="293"/>
      <c r="E973" s="107"/>
      <c r="F973" s="294"/>
      <c r="G973" s="295"/>
      <c r="J973" s="296"/>
      <c r="K973" s="295"/>
      <c r="M973" s="296"/>
      <c r="N973" s="295"/>
      <c r="P973" s="296"/>
      <c r="T973" s="292"/>
    </row>
    <row r="974" ht="12.75" customHeight="1">
      <c r="D974" s="293"/>
      <c r="E974" s="107"/>
      <c r="F974" s="294"/>
      <c r="G974" s="295"/>
      <c r="J974" s="296"/>
      <c r="K974" s="295"/>
      <c r="M974" s="296"/>
      <c r="N974" s="295"/>
      <c r="P974" s="296"/>
      <c r="T974" s="292"/>
    </row>
    <row r="975" ht="12.75" customHeight="1">
      <c r="D975" s="293"/>
      <c r="E975" s="107"/>
      <c r="F975" s="294"/>
      <c r="G975" s="295"/>
      <c r="J975" s="296"/>
      <c r="K975" s="295"/>
      <c r="M975" s="296"/>
      <c r="N975" s="295"/>
      <c r="P975" s="296"/>
      <c r="T975" s="292"/>
    </row>
    <row r="976" ht="12.75" customHeight="1">
      <c r="D976" s="293"/>
      <c r="E976" s="107"/>
      <c r="F976" s="294"/>
      <c r="G976" s="295"/>
      <c r="J976" s="296"/>
      <c r="K976" s="295"/>
      <c r="M976" s="296"/>
      <c r="N976" s="295"/>
      <c r="P976" s="296"/>
      <c r="T976" s="292"/>
    </row>
    <row r="977" ht="12.75" customHeight="1">
      <c r="D977" s="293"/>
      <c r="E977" s="107"/>
      <c r="F977" s="294"/>
      <c r="G977" s="295"/>
      <c r="J977" s="296"/>
      <c r="K977" s="295"/>
      <c r="M977" s="296"/>
      <c r="N977" s="295"/>
      <c r="P977" s="296"/>
      <c r="T977" s="292"/>
    </row>
    <row r="978" ht="12.75" customHeight="1">
      <c r="D978" s="293"/>
      <c r="E978" s="107"/>
      <c r="F978" s="294"/>
      <c r="G978" s="295"/>
      <c r="J978" s="296"/>
      <c r="K978" s="295"/>
      <c r="M978" s="296"/>
      <c r="N978" s="295"/>
      <c r="P978" s="296"/>
      <c r="T978" s="292"/>
    </row>
    <row r="979" ht="12.75" customHeight="1">
      <c r="D979" s="293"/>
      <c r="E979" s="107"/>
      <c r="F979" s="294"/>
      <c r="G979" s="295"/>
      <c r="J979" s="296"/>
      <c r="K979" s="295"/>
      <c r="M979" s="296"/>
      <c r="N979" s="295"/>
      <c r="P979" s="296"/>
      <c r="T979" s="292"/>
    </row>
    <row r="980" ht="12.75" customHeight="1">
      <c r="D980" s="293"/>
      <c r="E980" s="107"/>
      <c r="F980" s="294"/>
      <c r="G980" s="295"/>
      <c r="J980" s="296"/>
      <c r="K980" s="295"/>
      <c r="M980" s="296"/>
      <c r="N980" s="295"/>
      <c r="P980" s="296"/>
      <c r="T980" s="292"/>
    </row>
    <row r="981" ht="12.75" customHeight="1">
      <c r="D981" s="293"/>
      <c r="E981" s="107"/>
      <c r="F981" s="294"/>
      <c r="G981" s="295"/>
      <c r="J981" s="296"/>
      <c r="K981" s="295"/>
      <c r="M981" s="296"/>
      <c r="N981" s="295"/>
      <c r="P981" s="296"/>
      <c r="T981" s="292"/>
    </row>
    <row r="982" ht="12.75" customHeight="1">
      <c r="D982" s="293"/>
      <c r="E982" s="107"/>
      <c r="F982" s="294"/>
      <c r="G982" s="295"/>
      <c r="J982" s="296"/>
      <c r="K982" s="295"/>
      <c r="M982" s="296"/>
      <c r="N982" s="295"/>
      <c r="P982" s="296"/>
      <c r="T982" s="292"/>
    </row>
    <row r="983" ht="12.75" customHeight="1">
      <c r="D983" s="293"/>
      <c r="E983" s="107"/>
      <c r="F983" s="294"/>
      <c r="G983" s="295"/>
      <c r="J983" s="296"/>
      <c r="K983" s="295"/>
      <c r="M983" s="296"/>
      <c r="N983" s="295"/>
      <c r="P983" s="296"/>
      <c r="T983" s="292"/>
    </row>
    <row r="984" ht="12.75" customHeight="1">
      <c r="D984" s="293"/>
      <c r="E984" s="107"/>
      <c r="F984" s="294"/>
      <c r="G984" s="295"/>
      <c r="J984" s="296"/>
      <c r="K984" s="295"/>
      <c r="M984" s="296"/>
      <c r="N984" s="295"/>
      <c r="P984" s="296"/>
      <c r="T984" s="292"/>
    </row>
    <row r="985" ht="12.75" customHeight="1">
      <c r="D985" s="293"/>
      <c r="E985" s="107"/>
      <c r="F985" s="294"/>
      <c r="G985" s="295"/>
      <c r="J985" s="296"/>
      <c r="K985" s="295"/>
      <c r="M985" s="296"/>
      <c r="N985" s="295"/>
      <c r="P985" s="296"/>
      <c r="T985" s="292"/>
    </row>
    <row r="986" ht="12.75" customHeight="1">
      <c r="D986" s="293"/>
      <c r="E986" s="107"/>
      <c r="F986" s="294"/>
      <c r="G986" s="295"/>
      <c r="J986" s="296"/>
      <c r="K986" s="295"/>
      <c r="M986" s="296"/>
      <c r="N986" s="295"/>
      <c r="P986" s="296"/>
      <c r="T986" s="292"/>
    </row>
    <row r="987" ht="12.75" customHeight="1">
      <c r="D987" s="293"/>
      <c r="E987" s="107"/>
      <c r="F987" s="294"/>
      <c r="G987" s="295"/>
      <c r="J987" s="296"/>
      <c r="K987" s="295"/>
      <c r="M987" s="296"/>
      <c r="N987" s="295"/>
      <c r="P987" s="296"/>
      <c r="T987" s="292"/>
    </row>
    <row r="988" ht="12.75" customHeight="1">
      <c r="D988" s="293"/>
      <c r="E988" s="107"/>
      <c r="F988" s="294"/>
      <c r="G988" s="295"/>
      <c r="J988" s="296"/>
      <c r="K988" s="295"/>
      <c r="M988" s="296"/>
      <c r="N988" s="295"/>
      <c r="P988" s="296"/>
      <c r="T988" s="292"/>
    </row>
    <row r="989" ht="12.75" customHeight="1">
      <c r="D989" s="293"/>
      <c r="E989" s="107"/>
      <c r="F989" s="294"/>
      <c r="G989" s="295"/>
      <c r="J989" s="296"/>
      <c r="K989" s="295"/>
      <c r="M989" s="296"/>
      <c r="N989" s="295"/>
      <c r="P989" s="296"/>
      <c r="T989" s="292"/>
    </row>
    <row r="990" ht="12.75" customHeight="1">
      <c r="D990" s="293"/>
      <c r="E990" s="107"/>
      <c r="F990" s="294"/>
      <c r="G990" s="295"/>
      <c r="J990" s="296"/>
      <c r="K990" s="295"/>
      <c r="M990" s="296"/>
      <c r="N990" s="295"/>
      <c r="P990" s="296"/>
      <c r="T990" s="292"/>
    </row>
    <row r="991" ht="12.75" customHeight="1">
      <c r="D991" s="293"/>
      <c r="E991" s="107"/>
      <c r="F991" s="294"/>
      <c r="G991" s="295"/>
      <c r="J991" s="296"/>
      <c r="K991" s="295"/>
      <c r="M991" s="296"/>
      <c r="N991" s="295"/>
      <c r="P991" s="296"/>
      <c r="T991" s="292"/>
    </row>
    <row r="992">
      <c r="E992" s="299"/>
      <c r="F992" s="294"/>
      <c r="G992" s="295"/>
      <c r="J992" s="296"/>
      <c r="K992" s="295"/>
      <c r="M992" s="296"/>
      <c r="N992" s="295"/>
      <c r="P992" s="296"/>
    </row>
  </sheetData>
  <mergeCells count="4">
    <mergeCell ref="E2:F2"/>
    <mergeCell ref="G2:J2"/>
    <mergeCell ref="K2:M2"/>
    <mergeCell ref="N2:P2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2024-10-29T17:42:04Z</dcterms:created>
  <dc:creator>Aye</dc:creator>
</cp:coreProperties>
</file>